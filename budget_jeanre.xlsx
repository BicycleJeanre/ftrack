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ay/GIT-Repos-Personal/ftrack/Archive/original-excel-sources/"/>
    </mc:Choice>
  </mc:AlternateContent>
  <xr:revisionPtr revIDLastSave="0" documentId="13_ncr:1_{C9C25F1C-ACF1-F945-BA77-FD4EA6249A61}" xr6:coauthVersionLast="47" xr6:coauthVersionMax="47" xr10:uidLastSave="{00000000-0000-0000-0000-000000000000}"/>
  <bookViews>
    <workbookView xWindow="-68800" yWindow="-9860" windowWidth="68800" windowHeight="28300" xr2:uid="{F25DD163-696E-F842-A897-5E899A2812A7}"/>
  </bookViews>
  <sheets>
    <sheet name="Jeanre Transactional" sheetId="11" r:id="rId1"/>
    <sheet name="Bernice Transactional" sheetId="12" r:id="rId2"/>
    <sheet name="Bernice Credit Card" sheetId="13" r:id="rId3"/>
    <sheet name="Child" sheetId="14" r:id="rId4"/>
    <sheet name="Jodine U" sheetId="1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9" i="11" l="1"/>
  <c r="T5" i="14"/>
  <c r="T6" i="14" s="1"/>
  <c r="R5" i="14"/>
  <c r="R6" i="14" s="1"/>
  <c r="R7" i="14" s="1"/>
  <c r="R8" i="14" s="1"/>
  <c r="R9" i="14" s="1"/>
  <c r="R10" i="14" s="1"/>
  <c r="R11" i="14" s="1"/>
  <c r="R12" i="14" s="1"/>
  <c r="R13" i="14" s="1"/>
  <c r="R14" i="14" s="1"/>
  <c r="R15" i="14" s="1"/>
  <c r="R16" i="14" s="1"/>
  <c r="R17" i="14" s="1"/>
  <c r="R18" i="14" s="1"/>
  <c r="R19" i="14" s="1"/>
  <c r="R20" i="14" s="1"/>
  <c r="R21" i="14" s="1"/>
  <c r="R22" i="14" s="1"/>
  <c r="R23" i="14" s="1"/>
  <c r="R24" i="14" s="1"/>
  <c r="R25" i="14" s="1"/>
  <c r="U25" i="14" s="1"/>
  <c r="U4" i="14"/>
  <c r="D55" i="14"/>
  <c r="D54" i="14"/>
  <c r="D53" i="14"/>
  <c r="D52" i="14"/>
  <c r="D51" i="14"/>
  <c r="D50" i="14"/>
  <c r="D49" i="14"/>
  <c r="D48" i="14"/>
  <c r="D47" i="14"/>
  <c r="D46" i="14"/>
  <c r="D45" i="14"/>
  <c r="D44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D4" i="14"/>
  <c r="D3" i="14"/>
  <c r="J2" i="14"/>
  <c r="F2" i="14"/>
  <c r="F3" i="14" s="1"/>
  <c r="F4" i="14" s="1"/>
  <c r="F5" i="14" s="1"/>
  <c r="F6" i="14" s="1"/>
  <c r="F7" i="14" s="1"/>
  <c r="F8" i="14" s="1"/>
  <c r="F9" i="14" s="1"/>
  <c r="F10" i="14" s="1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F33" i="14" s="1"/>
  <c r="F34" i="14" s="1"/>
  <c r="F35" i="14" s="1"/>
  <c r="F36" i="14" s="1"/>
  <c r="F37" i="14" s="1"/>
  <c r="F38" i="14" s="1"/>
  <c r="F39" i="14" s="1"/>
  <c r="F40" i="14" s="1"/>
  <c r="F41" i="14" s="1"/>
  <c r="F42" i="14" s="1"/>
  <c r="F43" i="14" s="1"/>
  <c r="F44" i="14" s="1"/>
  <c r="F45" i="14" s="1"/>
  <c r="F46" i="14" s="1"/>
  <c r="F47" i="14" s="1"/>
  <c r="F48" i="14" s="1"/>
  <c r="F49" i="14" s="1"/>
  <c r="F50" i="14" s="1"/>
  <c r="F51" i="14" s="1"/>
  <c r="F52" i="14" s="1"/>
  <c r="F53" i="14" s="1"/>
  <c r="F54" i="14" s="1"/>
  <c r="F55" i="14" s="1"/>
  <c r="G55" i="14" s="1"/>
  <c r="D2" i="14"/>
  <c r="K23" i="15"/>
  <c r="G23" i="15"/>
  <c r="C23" i="15"/>
  <c r="U18" i="15"/>
  <c r="BJ14" i="15"/>
  <c r="BI14" i="15"/>
  <c r="BH14" i="15"/>
  <c r="BG14" i="15"/>
  <c r="BF14" i="15"/>
  <c r="BE14" i="15"/>
  <c r="BD14" i="15"/>
  <c r="BC14" i="15"/>
  <c r="BB14" i="15"/>
  <c r="BA14" i="15"/>
  <c r="AZ14" i="15"/>
  <c r="AY14" i="15"/>
  <c r="AX14" i="15"/>
  <c r="AW14" i="15"/>
  <c r="AV14" i="15"/>
  <c r="AU14" i="15"/>
  <c r="AT14" i="15"/>
  <c r="AS14" i="15"/>
  <c r="AR14" i="15"/>
  <c r="AQ14" i="15"/>
  <c r="AP14" i="15"/>
  <c r="AO14" i="15"/>
  <c r="AN14" i="15"/>
  <c r="AM14" i="15"/>
  <c r="AL14" i="15"/>
  <c r="AK14" i="15"/>
  <c r="AJ14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H14" i="15"/>
  <c r="F14" i="15"/>
  <c r="BJ13" i="15"/>
  <c r="BI13" i="15"/>
  <c r="BH13" i="15"/>
  <c r="BG13" i="15"/>
  <c r="BF13" i="15"/>
  <c r="BE13" i="15"/>
  <c r="BD13" i="15"/>
  <c r="BC13" i="15"/>
  <c r="BB13" i="15"/>
  <c r="BA13" i="15"/>
  <c r="AZ13" i="15"/>
  <c r="AY13" i="15"/>
  <c r="AX13" i="15"/>
  <c r="AW13" i="15"/>
  <c r="AV13" i="15"/>
  <c r="AU13" i="15"/>
  <c r="AT13" i="15"/>
  <c r="AS13" i="15"/>
  <c r="AR13" i="15"/>
  <c r="AQ13" i="15"/>
  <c r="AP13" i="15"/>
  <c r="AO13" i="15"/>
  <c r="AN13" i="15"/>
  <c r="AM13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I13" i="15"/>
  <c r="I23" i="15" s="1"/>
  <c r="H13" i="15"/>
  <c r="B7" i="15"/>
  <c r="B3" i="15"/>
  <c r="G2" i="14" l="1"/>
  <c r="G30" i="14"/>
  <c r="G28" i="14"/>
  <c r="G24" i="14"/>
  <c r="G29" i="14"/>
  <c r="G15" i="14"/>
  <c r="G27" i="14"/>
  <c r="G14" i="14"/>
  <c r="G13" i="14"/>
  <c r="G31" i="14"/>
  <c r="G12" i="14"/>
  <c r="G11" i="14"/>
  <c r="G47" i="14"/>
  <c r="G10" i="14"/>
  <c r="G46" i="14"/>
  <c r="G9" i="14"/>
  <c r="G45" i="14"/>
  <c r="G8" i="14"/>
  <c r="G44" i="14"/>
  <c r="G7" i="14"/>
  <c r="G43" i="14"/>
  <c r="G42" i="14"/>
  <c r="G26" i="14"/>
  <c r="G41" i="14"/>
  <c r="G25" i="14"/>
  <c r="G39" i="14"/>
  <c r="G23" i="14"/>
  <c r="G54" i="14"/>
  <c r="G38" i="14"/>
  <c r="G22" i="14"/>
  <c r="G6" i="14"/>
  <c r="G5" i="14"/>
  <c r="G53" i="14"/>
  <c r="G37" i="14"/>
  <c r="G21" i="14"/>
  <c r="G52" i="14"/>
  <c r="G36" i="14"/>
  <c r="G20" i="14"/>
  <c r="G4" i="14"/>
  <c r="G3" i="14"/>
  <c r="G40" i="14"/>
  <c r="G51" i="14"/>
  <c r="G35" i="14"/>
  <c r="G19" i="14"/>
  <c r="G50" i="14"/>
  <c r="G34" i="14"/>
  <c r="G18" i="14"/>
  <c r="G49" i="14"/>
  <c r="G33" i="14"/>
  <c r="G17" i="14"/>
  <c r="G48" i="14"/>
  <c r="G32" i="14"/>
  <c r="G16" i="14"/>
  <c r="T7" i="14"/>
  <c r="U6" i="14"/>
  <c r="U5" i="14"/>
  <c r="C24" i="15"/>
  <c r="D17" i="15" s="1"/>
  <c r="D23" i="15" s="1"/>
  <c r="D24" i="15"/>
  <c r="E17" i="15" s="1"/>
  <c r="E23" i="15" s="1"/>
  <c r="E24" i="15" s="1"/>
  <c r="F17" i="15" s="1"/>
  <c r="F23" i="15" s="1"/>
  <c r="F24" i="15" s="1"/>
  <c r="G24" i="15"/>
  <c r="H17" i="15" s="1"/>
  <c r="H23" i="15" s="1"/>
  <c r="H24" i="15" s="1"/>
  <c r="I24" i="15"/>
  <c r="J17" i="15" s="1"/>
  <c r="J23" i="15" s="1"/>
  <c r="J24" i="15" s="1"/>
  <c r="K24" i="15"/>
  <c r="L23" i="15" s="1"/>
  <c r="L24" i="15" s="1"/>
  <c r="M17" i="15" s="1"/>
  <c r="M23" i="15" s="1"/>
  <c r="M24" i="15" s="1"/>
  <c r="N17" i="15" s="1"/>
  <c r="N23" i="15" s="1"/>
  <c r="N24" i="15" s="1"/>
  <c r="O17" i="15" s="1"/>
  <c r="O23" i="15" s="1"/>
  <c r="O24" i="15" s="1"/>
  <c r="P17" i="15" s="1"/>
  <c r="P23" i="15" s="1"/>
  <c r="P24" i="15" s="1"/>
  <c r="Q17" i="15" s="1"/>
  <c r="Q23" i="15" s="1"/>
  <c r="Q24" i="15" s="1"/>
  <c r="R17" i="15" s="1"/>
  <c r="R23" i="15" s="1"/>
  <c r="R24" i="15" s="1"/>
  <c r="S17" i="15" s="1"/>
  <c r="S23" i="15" s="1"/>
  <c r="S24" i="15" s="1"/>
  <c r="T17" i="15" s="1"/>
  <c r="T23" i="15" s="1"/>
  <c r="T24" i="15" s="1"/>
  <c r="U17" i="15" s="1"/>
  <c r="U23" i="15" s="1"/>
  <c r="U24" i="15" s="1"/>
  <c r="V17" i="15" s="1"/>
  <c r="V23" i="15" s="1"/>
  <c r="V24" i="15" s="1"/>
  <c r="W17" i="15" s="1"/>
  <c r="W23" i="15" s="1"/>
  <c r="W24" i="15" s="1"/>
  <c r="X17" i="15" s="1"/>
  <c r="X23" i="15" s="1"/>
  <c r="X24" i="15" s="1"/>
  <c r="Y17" i="15" s="1"/>
  <c r="Y23" i="15" s="1"/>
  <c r="Y24" i="15" s="1"/>
  <c r="Z17" i="15" s="1"/>
  <c r="Z23" i="15" s="1"/>
  <c r="Z24" i="15" s="1"/>
  <c r="AA17" i="15" s="1"/>
  <c r="AA23" i="15" s="1"/>
  <c r="AA24" i="15" s="1"/>
  <c r="AB17" i="15" s="1"/>
  <c r="AB23" i="15" s="1"/>
  <c r="AB24" i="15" s="1"/>
  <c r="AC17" i="15" s="1"/>
  <c r="AC23" i="15" s="1"/>
  <c r="AC24" i="15" s="1"/>
  <c r="AD17" i="15" s="1"/>
  <c r="AD23" i="15" s="1"/>
  <c r="AD24" i="15" s="1"/>
  <c r="AE17" i="15" s="1"/>
  <c r="AE23" i="15" s="1"/>
  <c r="AE24" i="15" s="1"/>
  <c r="AF17" i="15" s="1"/>
  <c r="AF23" i="15" s="1"/>
  <c r="AF24" i="15" s="1"/>
  <c r="AG17" i="15" s="1"/>
  <c r="AG23" i="15" s="1"/>
  <c r="AG24" i="15" s="1"/>
  <c r="AH17" i="15" s="1"/>
  <c r="AH23" i="15" s="1"/>
  <c r="AH24" i="15" s="1"/>
  <c r="AI17" i="15" s="1"/>
  <c r="AI23" i="15" s="1"/>
  <c r="AI24" i="15" s="1"/>
  <c r="AJ17" i="15" s="1"/>
  <c r="AJ23" i="15" s="1"/>
  <c r="AJ24" i="15" s="1"/>
  <c r="AK17" i="15" s="1"/>
  <c r="AK23" i="15" s="1"/>
  <c r="AK24" i="15" s="1"/>
  <c r="AL17" i="15" s="1"/>
  <c r="AL23" i="15" s="1"/>
  <c r="AL24" i="15" s="1"/>
  <c r="AM17" i="15" s="1"/>
  <c r="AM23" i="15" s="1"/>
  <c r="AM24" i="15" s="1"/>
  <c r="AN17" i="15" s="1"/>
  <c r="AN23" i="15" s="1"/>
  <c r="AN24" i="15" s="1"/>
  <c r="AO17" i="15" s="1"/>
  <c r="AO23" i="15" s="1"/>
  <c r="AO24" i="15" s="1"/>
  <c r="AP17" i="15" s="1"/>
  <c r="AP23" i="15" s="1"/>
  <c r="AP24" i="15" s="1"/>
  <c r="AQ17" i="15" s="1"/>
  <c r="AQ23" i="15" s="1"/>
  <c r="AQ24" i="15" s="1"/>
  <c r="AR17" i="15" s="1"/>
  <c r="AR23" i="15" s="1"/>
  <c r="AR24" i="15" s="1"/>
  <c r="AS17" i="15" s="1"/>
  <c r="AS23" i="15" s="1"/>
  <c r="AS24" i="15" s="1"/>
  <c r="AT17" i="15" s="1"/>
  <c r="AT23" i="15" s="1"/>
  <c r="AT24" i="15" s="1"/>
  <c r="AU17" i="15" s="1"/>
  <c r="AU23" i="15" s="1"/>
  <c r="AU24" i="15" s="1"/>
  <c r="AV17" i="15" s="1"/>
  <c r="AV23" i="15" s="1"/>
  <c r="AV24" i="15" s="1"/>
  <c r="AW17" i="15" s="1"/>
  <c r="AW23" i="15" s="1"/>
  <c r="AW24" i="15" s="1"/>
  <c r="AX17" i="15" s="1"/>
  <c r="AX23" i="15" s="1"/>
  <c r="AX24" i="15" s="1"/>
  <c r="AY17" i="15" s="1"/>
  <c r="AY23" i="15" s="1"/>
  <c r="AY24" i="15" s="1"/>
  <c r="AZ17" i="15" s="1"/>
  <c r="AZ23" i="15" s="1"/>
  <c r="AZ24" i="15" s="1"/>
  <c r="BA17" i="15" s="1"/>
  <c r="BA23" i="15" s="1"/>
  <c r="BA24" i="15" s="1"/>
  <c r="BB17" i="15" s="1"/>
  <c r="BB23" i="15" s="1"/>
  <c r="BB24" i="15" s="1"/>
  <c r="BC17" i="15" s="1"/>
  <c r="BC23" i="15" s="1"/>
  <c r="BC24" i="15" s="1"/>
  <c r="BD17" i="15" s="1"/>
  <c r="BD23" i="15" s="1"/>
  <c r="BD24" i="15" s="1"/>
  <c r="BE17" i="15" s="1"/>
  <c r="BE23" i="15" s="1"/>
  <c r="BE24" i="15" s="1"/>
  <c r="BF17" i="15" s="1"/>
  <c r="BF23" i="15" s="1"/>
  <c r="BF24" i="15" s="1"/>
  <c r="BG17" i="15" s="1"/>
  <c r="BG23" i="15" s="1"/>
  <c r="BG24" i="15" s="1"/>
  <c r="BH17" i="15" s="1"/>
  <c r="BH23" i="15" s="1"/>
  <c r="BH24" i="15" s="1"/>
  <c r="BI17" i="15" s="1"/>
  <c r="BI23" i="15" s="1"/>
  <c r="BI24" i="15" s="1"/>
  <c r="BJ17" i="15" s="1"/>
  <c r="BJ23" i="15" s="1"/>
  <c r="BJ24" i="15" s="1"/>
  <c r="T8" i="14" l="1"/>
  <c r="U7" i="14"/>
  <c r="U8" i="14" l="1"/>
  <c r="T9" i="14"/>
  <c r="T10" i="14" l="1"/>
  <c r="U9" i="14"/>
  <c r="T11" i="14" l="1"/>
  <c r="U10" i="14"/>
  <c r="T12" i="14" l="1"/>
  <c r="U11" i="14"/>
  <c r="T13" i="14" l="1"/>
  <c r="U12" i="14"/>
  <c r="U13" i="14" l="1"/>
  <c r="T14" i="14"/>
  <c r="T15" i="14" l="1"/>
  <c r="U14" i="14"/>
  <c r="U15" i="14" l="1"/>
  <c r="T16" i="14"/>
  <c r="T17" i="14" l="1"/>
  <c r="U16" i="14"/>
  <c r="U17" i="14" l="1"/>
  <c r="T18" i="14"/>
  <c r="T19" i="14" l="1"/>
  <c r="U18" i="14"/>
  <c r="T20" i="14" l="1"/>
  <c r="U19" i="14"/>
  <c r="T21" i="14" l="1"/>
  <c r="U20" i="14"/>
  <c r="T22" i="14" l="1"/>
  <c r="U21" i="14"/>
  <c r="T23" i="14" l="1"/>
  <c r="U22" i="14"/>
  <c r="T24" i="14" l="1"/>
  <c r="U24" i="14" s="1"/>
  <c r="U23" i="14"/>
  <c r="S39" i="14" l="1"/>
  <c r="S40" i="14" s="1"/>
  <c r="S41" i="14" s="1"/>
  <c r="K17" i="13"/>
  <c r="K16" i="13"/>
  <c r="J16" i="13"/>
  <c r="I16" i="13"/>
  <c r="H16" i="13"/>
  <c r="G16" i="13"/>
  <c r="F16" i="13"/>
  <c r="E16" i="13"/>
  <c r="D16" i="13"/>
  <c r="C16" i="13"/>
  <c r="B3" i="13"/>
  <c r="Q10" i="13" s="1"/>
  <c r="S15" i="12"/>
  <c r="K15" i="12"/>
  <c r="J15" i="12"/>
  <c r="I15" i="12"/>
  <c r="H15" i="12"/>
  <c r="G15" i="12"/>
  <c r="F15" i="12"/>
  <c r="E15" i="12"/>
  <c r="D15" i="12"/>
  <c r="C15" i="12"/>
  <c r="M13" i="12"/>
  <c r="R12" i="12"/>
  <c r="R15" i="12" s="1"/>
  <c r="Q12" i="12"/>
  <c r="Q15" i="12" s="1"/>
  <c r="P12" i="12"/>
  <c r="O12" i="12"/>
  <c r="O15" i="12" s="1"/>
  <c r="P3" i="12" s="1"/>
  <c r="P15" i="12" s="1"/>
  <c r="N12" i="12"/>
  <c r="N15" i="12" s="1"/>
  <c r="M12" i="12"/>
  <c r="M15" i="12" s="1"/>
  <c r="M6" i="12"/>
  <c r="T3" i="12"/>
  <c r="T15" i="12" s="1"/>
  <c r="U15" i="12" s="1"/>
  <c r="V3" i="12" s="1"/>
  <c r="V15" i="12" s="1"/>
  <c r="W3" i="12" s="1"/>
  <c r="W15" i="12" s="1"/>
  <c r="Q17" i="13" l="1"/>
  <c r="Q16" i="13"/>
  <c r="R9" i="13" s="1"/>
  <c r="N10" i="13"/>
  <c r="L10" i="13"/>
  <c r="M10" i="13"/>
  <c r="O10" i="13"/>
  <c r="P10" i="13"/>
  <c r="P16" i="13" l="1"/>
  <c r="P17" i="13"/>
  <c r="O16" i="13"/>
  <c r="O17" i="13"/>
  <c r="M16" i="13"/>
  <c r="M17" i="13"/>
  <c r="L16" i="13"/>
  <c r="L17" i="13"/>
  <c r="N16" i="13"/>
  <c r="N17" i="13"/>
  <c r="R10" i="13"/>
  <c r="R17" i="13" s="1"/>
  <c r="R16" i="13"/>
  <c r="S10" i="13" l="1"/>
  <c r="S17" i="13" s="1"/>
  <c r="S16" i="13"/>
  <c r="T9" i="13" s="1"/>
  <c r="T16" i="13" l="1"/>
  <c r="U9" i="13" s="1"/>
  <c r="T10" i="13"/>
  <c r="T17" i="13" s="1"/>
  <c r="U16" i="13" l="1"/>
  <c r="U10" i="13"/>
  <c r="U17" i="13" s="1"/>
  <c r="T73" i="11" l="1"/>
  <c r="U73" i="11" s="1"/>
  <c r="T53" i="11"/>
  <c r="W60" i="11"/>
  <c r="N45" i="11" l="1"/>
  <c r="M45" i="11"/>
  <c r="L45" i="11"/>
  <c r="K45" i="11"/>
  <c r="J45" i="11"/>
  <c r="I45" i="11"/>
  <c r="H45" i="11"/>
  <c r="G45" i="11"/>
  <c r="F45" i="11"/>
  <c r="E45" i="11"/>
  <c r="D45" i="11"/>
  <c r="C45" i="11"/>
  <c r="L44" i="11" l="1"/>
  <c r="M44" i="11" s="1"/>
  <c r="K44" i="11"/>
  <c r="I44" i="11"/>
  <c r="C44" i="11"/>
  <c r="J44" i="11"/>
  <c r="H44" i="11"/>
  <c r="G44" i="11"/>
  <c r="F44" i="11"/>
  <c r="E44" i="11"/>
  <c r="D44" i="11"/>
  <c r="N44" i="11" l="1"/>
  <c r="O45" i="11" s="1"/>
  <c r="O44" i="11" l="1"/>
  <c r="P45" i="11" s="1"/>
  <c r="P44" i="11" l="1"/>
  <c r="Q45" i="11" s="1"/>
  <c r="Q44" i="11" l="1"/>
  <c r="R8" i="11" s="1"/>
  <c r="R45" i="11" s="1"/>
  <c r="R44" i="11" l="1"/>
  <c r="S45" i="11" s="1"/>
  <c r="S44" i="11" l="1"/>
  <c r="T45" i="11" s="1"/>
  <c r="T44" i="11" l="1"/>
  <c r="U8" i="11" s="1"/>
  <c r="U45" i="11" s="1"/>
  <c r="U44" i="11" l="1"/>
  <c r="V8" i="11" s="1"/>
  <c r="V45" i="11" s="1"/>
  <c r="V44" i="11" l="1"/>
</calcChain>
</file>

<file path=xl/sharedStrings.xml><?xml version="1.0" encoding="utf-8"?>
<sst xmlns="http://schemas.openxmlformats.org/spreadsheetml/2006/main" count="359" uniqueCount="216">
  <si>
    <t>Jeanre Transactional</t>
  </si>
  <si>
    <t>Home Loan</t>
  </si>
  <si>
    <t>Vehicle Loan</t>
  </si>
  <si>
    <t>Cell Phones</t>
  </si>
  <si>
    <t>Medical Aid</t>
  </si>
  <si>
    <t>Shortfall Insurance</t>
  </si>
  <si>
    <t>Vehicle Insurance</t>
  </si>
  <si>
    <t>Home Insurance</t>
  </si>
  <si>
    <t>Life Insurance</t>
  </si>
  <si>
    <t>Jeanre Credit Card</t>
  </si>
  <si>
    <t>Municipal Account</t>
  </si>
  <si>
    <t>Fuel</t>
  </si>
  <si>
    <t>Jansie</t>
  </si>
  <si>
    <t>Bernice Transactional</t>
  </si>
  <si>
    <t>Other</t>
  </si>
  <si>
    <t>Jeanre Retirement</t>
  </si>
  <si>
    <t>Netstar</t>
  </si>
  <si>
    <t>Movement</t>
  </si>
  <si>
    <t>Jodine U</t>
  </si>
  <si>
    <t>Personal Wealth</t>
  </si>
  <si>
    <t>Jodine Transactional</t>
  </si>
  <si>
    <t>Salary</t>
  </si>
  <si>
    <t>2024-05-01</t>
  </si>
  <si>
    <t>2024-06-01</t>
  </si>
  <si>
    <t>2024-08-01</t>
  </si>
  <si>
    <t>2024-07-01</t>
  </si>
  <si>
    <t>2024-09-01</t>
  </si>
  <si>
    <t>2024-10-01</t>
  </si>
  <si>
    <t>2024-11-01</t>
  </si>
  <si>
    <t>2024-12-01</t>
  </si>
  <si>
    <t>Emergency</t>
  </si>
  <si>
    <t>Internet</t>
  </si>
  <si>
    <t>Administration</t>
  </si>
  <si>
    <t>Account Secondary</t>
  </si>
  <si>
    <t>Credit</t>
  </si>
  <si>
    <t>Debit</t>
  </si>
  <si>
    <t>2025-01-01</t>
  </si>
  <si>
    <t>2025-02-01</t>
  </si>
  <si>
    <t>2025-03-01</t>
  </si>
  <si>
    <t>2025-04-01</t>
  </si>
  <si>
    <t>2025-06-01</t>
  </si>
  <si>
    <t>2025-05-01</t>
  </si>
  <si>
    <t>2025-07-01</t>
  </si>
  <si>
    <t>2025-08-01</t>
  </si>
  <si>
    <t>2025-09-01</t>
  </si>
  <si>
    <t>2025-10-01</t>
  </si>
  <si>
    <t>2025-11-01</t>
  </si>
  <si>
    <t>2025-12-01</t>
  </si>
  <si>
    <t>Subtotal</t>
  </si>
  <si>
    <t>Bicycle Claims</t>
  </si>
  <si>
    <t>Running Costs</t>
  </si>
  <si>
    <t>Medical</t>
  </si>
  <si>
    <t>Vehicle Licenses</t>
  </si>
  <si>
    <t>Tax</t>
  </si>
  <si>
    <t>Tax Refund</t>
  </si>
  <si>
    <t>Vape</t>
  </si>
  <si>
    <t>Retained Balance</t>
  </si>
  <si>
    <t>Accounts</t>
  </si>
  <si>
    <t>Events</t>
  </si>
  <si>
    <t>Gas</t>
  </si>
  <si>
    <t>econo</t>
  </si>
  <si>
    <t>fuel</t>
  </si>
  <si>
    <t>Game</t>
  </si>
  <si>
    <t>no retain</t>
  </si>
  <si>
    <t>Easy Equities</t>
  </si>
  <si>
    <t>NEW HEROTEL EFT DETAILS!!</t>
  </si>
  <si>
    <t>Child Fund</t>
  </si>
  <si>
    <t>Macbook</t>
  </si>
  <si>
    <t>Delhi Delicious</t>
  </si>
  <si>
    <t>midtown</t>
  </si>
  <si>
    <t>hair</t>
  </si>
  <si>
    <t xml:space="preserve">Daniel in </t>
  </si>
  <si>
    <t>herbs and spices</t>
  </si>
  <si>
    <t>takealot</t>
  </si>
  <si>
    <t>kfc</t>
  </si>
  <si>
    <t>bestmed</t>
  </si>
  <si>
    <t>dischem</t>
  </si>
  <si>
    <t>mcd</t>
  </si>
  <si>
    <t>Municipal ac</t>
  </si>
  <si>
    <t>Psych</t>
  </si>
  <si>
    <t>RAm for mac</t>
  </si>
  <si>
    <t>pathcare</t>
  </si>
  <si>
    <t>grandparents</t>
  </si>
  <si>
    <t>NM</t>
  </si>
  <si>
    <t>emergency</t>
  </si>
  <si>
    <t xml:space="preserve">from wealth? </t>
  </si>
  <si>
    <t xml:space="preserve"> </t>
  </si>
  <si>
    <t>Jodine AIE</t>
  </si>
  <si>
    <t>H Smith</t>
  </si>
  <si>
    <t>2024-12-02</t>
  </si>
  <si>
    <t>Bernice Credit Card</t>
  </si>
  <si>
    <t>Fees</t>
  </si>
  <si>
    <t>Geely Insurance</t>
  </si>
  <si>
    <t>Bernice Retirement</t>
  </si>
  <si>
    <t>Bernice Personal Savings</t>
  </si>
  <si>
    <t>Comic Con</t>
  </si>
  <si>
    <t>Child</t>
  </si>
  <si>
    <t>Home and Vehicle Savings</t>
  </si>
  <si>
    <t>Item</t>
  </si>
  <si>
    <t>Amount</t>
  </si>
  <si>
    <t>Interest NACM</t>
  </si>
  <si>
    <t>Interst Monthly</t>
  </si>
  <si>
    <t>Interest</t>
  </si>
  <si>
    <t>Bulk Meat</t>
  </si>
  <si>
    <t>Geely Parts</t>
  </si>
  <si>
    <t>Groceries</t>
  </si>
  <si>
    <t>Debit Total</t>
  </si>
  <si>
    <t>Month</t>
  </si>
  <si>
    <t>#</t>
  </si>
  <si>
    <t>Balance (predicted)</t>
  </si>
  <si>
    <t>amount (agreed)</t>
  </si>
  <si>
    <t>amount Paid</t>
  </si>
  <si>
    <t>Balance (Actual)</t>
  </si>
  <si>
    <t>Agreed Payments</t>
  </si>
  <si>
    <t>Current Month</t>
  </si>
  <si>
    <t>Y</t>
  </si>
  <si>
    <t>Value</t>
  </si>
  <si>
    <t>Interest(NACM)</t>
  </si>
  <si>
    <t>Interest Monthly</t>
  </si>
  <si>
    <t>Total AIE per Semester</t>
  </si>
  <si>
    <t>Min Deposit</t>
  </si>
  <si>
    <t>registration</t>
  </si>
  <si>
    <t>Remaining amount</t>
  </si>
  <si>
    <t>Monthly Installment</t>
  </si>
  <si>
    <t>Jodine Contribution</t>
  </si>
  <si>
    <t>Jeanre Contribution</t>
  </si>
  <si>
    <t>Type</t>
  </si>
  <si>
    <t>Description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</si>
  <si>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</si>
  <si>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</si>
  <si>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</si>
  <si>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</si>
  <si>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</si>
  <si>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</si>
  <si>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</si>
  <si>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</si>
  <si>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</si>
  <si>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</si>
  <si>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</si>
  <si>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</si>
  <si>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</si>
  <si>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</si>
  <si>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</si>
  <si>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</si>
  <si>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</si>
  <si>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</si>
  <si>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</si>
  <si>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</si>
  <si>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</si>
  <si>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</si>
  <si>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</si>
  <si>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</si>
  <si>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</si>
  <si>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</si>
  <si>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</si>
  <si>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</si>
  <si>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</si>
  <si>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</si>
  <si>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</si>
  <si>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</si>
  <si>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</si>
  <si>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</si>
  <si>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</si>
  <si>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</si>
  <si>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Jan-28</t>
  </si>
  <si>
    <t>Feb-28</t>
  </si>
  <si>
    <t>Mar-28</t>
  </si>
  <si>
    <t>Apr-28</t>
  </si>
  <si>
    <t>May-28</t>
  </si>
  <si>
    <t>Jun-28</t>
  </si>
  <si>
    <t>Jul-28</t>
  </si>
  <si>
    <t>Aug-28</t>
  </si>
  <si>
    <t>Sep-28</t>
  </si>
  <si>
    <t>Oct-28</t>
  </si>
  <si>
    <t>Nov-28</t>
  </si>
  <si>
    <t>Dec-28</t>
  </si>
  <si>
    <t>Jan-29</t>
  </si>
  <si>
    <t>Feb-29</t>
  </si>
  <si>
    <t>Mar-29</t>
  </si>
  <si>
    <t>Apr-29</t>
  </si>
  <si>
    <t>May-29</t>
  </si>
  <si>
    <t>Jun-29</t>
  </si>
  <si>
    <t>Jul-29</t>
  </si>
  <si>
    <t>Aug-29</t>
  </si>
  <si>
    <t>Sep-29</t>
  </si>
  <si>
    <t>Oct-29</t>
  </si>
  <si>
    <t>Nov-29</t>
  </si>
  <si>
    <t>Dec-29</t>
  </si>
  <si>
    <t>Income</t>
  </si>
  <si>
    <t>Jodine</t>
  </si>
  <si>
    <t>Jeanre</t>
  </si>
  <si>
    <t>Excess</t>
  </si>
  <si>
    <t>Expense</t>
  </si>
  <si>
    <t xml:space="preserve"> Deposit</t>
  </si>
  <si>
    <t xml:space="preserve"> Monthly Payment</t>
  </si>
  <si>
    <t>Laptop</t>
  </si>
  <si>
    <t>Books</t>
  </si>
  <si>
    <t>Total</t>
  </si>
  <si>
    <t>Running Total w Interest</t>
  </si>
  <si>
    <t>verified accurate</t>
  </si>
  <si>
    <t>Geely</t>
  </si>
  <si>
    <t>Self</t>
  </si>
  <si>
    <t>Month Total</t>
  </si>
  <si>
    <t>Costs Total</t>
  </si>
  <si>
    <t>Running Total</t>
  </si>
  <si>
    <t>Running Total + Interest</t>
  </si>
  <si>
    <t>Interest Rate (NACM)</t>
  </si>
  <si>
    <t>IR per Month</t>
  </si>
  <si>
    <t>running</t>
  </si>
  <si>
    <t>technically paid in May</t>
  </si>
  <si>
    <t>Notes</t>
  </si>
  <si>
    <t>Payment Date</t>
  </si>
  <si>
    <t>Verified</t>
  </si>
  <si>
    <t>Overdue</t>
  </si>
  <si>
    <t>Actuals (paid in Arrears)</t>
  </si>
  <si>
    <t xml:space="preserve">720 groceries left.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</si>
</sst>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R&quot;* #,##0.00_);_(&quot;R&quot;* \(#,##0.00\);_(&quot;R&quot;* &quot;-&quot;??_);_(@_)"/>
    <numFmt numFmtId="43" formatCode="_(* #,##0.00_);_(* \(#,##0.00\);_(* &quot;-&quot;??_);_(@_)"/>
    <numFmt numFmtId="164" formatCode="&quot;R&quot;#,##0.00"/>
  </numFmts>
  <fonts count="3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6"/>
      <name val="Aptos Narrow"/>
      <scheme val="minor"/>
    </font>
    <font>
      <sz val="16"/>
      <name val="Aptos Narrow"/>
      <family val="2"/>
      <scheme val="minor"/>
    </font>
    <font>
      <b/>
      <sz val="16"/>
      <color theme="9"/>
      <name val="Aptos Narrow"/>
      <scheme val="minor"/>
    </font>
    <font>
      <b/>
      <sz val="16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b/>
      <sz val="16"/>
      <color rgb="FF7030A0"/>
      <name val="Aptos Narrow"/>
      <family val="2"/>
      <scheme val="minor"/>
    </font>
    <font>
      <b/>
      <sz val="16"/>
      <color rgb="FFFFFF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6"/>
      <color rgb="FF00B050"/>
      <name val="Aptos Narrow"/>
      <scheme val="minor"/>
    </font>
    <font>
      <b/>
      <sz val="16"/>
      <color rgb="FF0070C0"/>
      <name val="Aptos Narrow"/>
      <scheme val="minor"/>
    </font>
    <font>
      <b/>
      <sz val="16"/>
      <color rgb="FF00B0F0"/>
      <name val="Aptos Narrow"/>
      <scheme val="minor"/>
    </font>
    <font>
      <b/>
      <sz val="16"/>
      <color rgb="FFFF0000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theme="9"/>
      <name val="Aptos Narrow"/>
      <family val="2"/>
      <scheme val="minor"/>
    </font>
    <font>
      <u/>
      <sz val="12"/>
      <color rgb="FFFF0000"/>
      <name val="Aptos Narrow"/>
      <family val="2"/>
      <scheme val="minor"/>
    </font>
    <font>
      <sz val="12"/>
      <color theme="5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6"/>
      <name val="Aptos Narrow"/>
      <scheme val="minor"/>
    </font>
    <font>
      <sz val="16"/>
      <color theme="1"/>
      <name val="Aptos Narrow"/>
      <family val="2"/>
      <scheme val="minor"/>
    </font>
    <font>
      <b/>
      <sz val="16"/>
      <color rgb="FF00B050"/>
      <name val="Aptos Narrow"/>
    </font>
    <font>
      <b/>
      <sz val="16"/>
      <color rgb="FF000000"/>
      <name val="Aptos Narrow"/>
    </font>
    <font>
      <b/>
      <sz val="16"/>
      <color theme="9"/>
      <name val="Aptos Narrow"/>
    </font>
    <font>
      <sz val="12"/>
      <color theme="2" tint="-9.9978637043366805E-2"/>
      <name val="Aptos Narrow"/>
      <family val="2"/>
      <scheme val="minor"/>
    </font>
    <font>
      <b/>
      <sz val="12"/>
      <color theme="0" tint="-0.249977111117893"/>
      <name val="Aptos Narrow"/>
      <scheme val="minor"/>
    </font>
    <font>
      <sz val="12"/>
      <color theme="1"/>
      <name val="Aptos Narrow"/>
      <family val="2"/>
      <scheme val="minor"/>
    </font>
    <font>
      <sz val="12"/>
      <name val="Aptos Narrow"/>
      <scheme val="minor"/>
    </font>
    <font>
      <sz val="12"/>
      <color theme="9"/>
      <name val="Aptos Narrow"/>
      <scheme val="minor"/>
    </font>
    <font>
      <b/>
      <sz val="16"/>
      <color theme="5"/>
      <name val="Aptos Narrow"/>
      <scheme val="minor"/>
    </font>
    <font>
      <sz val="12"/>
      <color theme="2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theme="0" tint="-0.14999847407452621"/>
      </patternFill>
    </fill>
    <fill>
      <patternFill patternType="solid">
        <fgColor rgb="FFFFC000"/>
        <bgColor theme="0" tint="-0.14999847407452621"/>
      </patternFill>
    </fill>
    <fill>
      <patternFill patternType="solid">
        <fgColor rgb="FFFFC7CE"/>
      </patternFill>
    </fill>
    <fill>
      <patternFill patternType="solid">
        <fgColor rgb="FFDAF2D0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2" fillId="7" borderId="0" applyNumberFormat="0" applyBorder="0" applyAlignment="0" applyProtection="0"/>
    <xf numFmtId="43" fontId="30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44" fontId="5" fillId="2" borderId="0" xfId="0" applyNumberFormat="1" applyFont="1" applyFill="1"/>
    <xf numFmtId="44" fontId="5" fillId="4" borderId="0" xfId="0" applyNumberFormat="1" applyFont="1" applyFill="1"/>
    <xf numFmtId="49" fontId="1" fillId="0" borderId="1" xfId="0" applyNumberFormat="1" applyFont="1" applyBorder="1"/>
    <xf numFmtId="44" fontId="8" fillId="2" borderId="0" xfId="0" applyNumberFormat="1" applyFont="1" applyFill="1"/>
    <xf numFmtId="44" fontId="6" fillId="2" borderId="0" xfId="0" applyNumberFormat="1" applyFont="1" applyFill="1"/>
    <xf numFmtId="0" fontId="7" fillId="5" borderId="0" xfId="0" applyFont="1" applyFill="1"/>
    <xf numFmtId="44" fontId="6" fillId="5" borderId="0" xfId="0" applyNumberFormat="1" applyFont="1" applyFill="1"/>
    <xf numFmtId="0" fontId="3" fillId="3" borderId="0" xfId="0" applyFont="1" applyFill="1"/>
    <xf numFmtId="44" fontId="6" fillId="3" borderId="0" xfId="0" applyNumberFormat="1" applyFont="1" applyFill="1"/>
    <xf numFmtId="0" fontId="7" fillId="3" borderId="0" xfId="0" applyFont="1" applyFill="1"/>
    <xf numFmtId="44" fontId="5" fillId="3" borderId="0" xfId="0" applyNumberFormat="1" applyFont="1" applyFill="1"/>
    <xf numFmtId="0" fontId="7" fillId="2" borderId="0" xfId="0" applyFont="1" applyFill="1"/>
    <xf numFmtId="44" fontId="10" fillId="5" borderId="0" xfId="0" applyNumberFormat="1" applyFont="1" applyFill="1"/>
    <xf numFmtId="0" fontId="1" fillId="0" borderId="5" xfId="0" applyFont="1" applyBorder="1"/>
    <xf numFmtId="49" fontId="1" fillId="0" borderId="2" xfId="0" applyNumberFormat="1" applyFont="1" applyBorder="1"/>
    <xf numFmtId="0" fontId="7" fillId="2" borderId="2" xfId="0" applyFont="1" applyFill="1" applyBorder="1"/>
    <xf numFmtId="0" fontId="7" fillId="2" borderId="3" xfId="0" applyFont="1" applyFill="1" applyBorder="1"/>
    <xf numFmtId="44" fontId="10" fillId="2" borderId="3" xfId="0" applyNumberFormat="1" applyFont="1" applyFill="1" applyBorder="1"/>
    <xf numFmtId="44" fontId="11" fillId="2" borderId="3" xfId="0" applyNumberFormat="1" applyFont="1" applyFill="1" applyBorder="1"/>
    <xf numFmtId="44" fontId="10" fillId="2" borderId="0" xfId="0" applyNumberFormat="1" applyFont="1" applyFill="1"/>
    <xf numFmtId="44" fontId="11" fillId="2" borderId="0" xfId="0" applyNumberFormat="1" applyFont="1" applyFill="1"/>
    <xf numFmtId="44" fontId="10" fillId="3" borderId="0" xfId="0" applyNumberFormat="1" applyFont="1" applyFill="1"/>
    <xf numFmtId="44" fontId="11" fillId="3" borderId="0" xfId="0" applyNumberFormat="1" applyFont="1" applyFill="1"/>
    <xf numFmtId="44" fontId="11" fillId="5" borderId="0" xfId="0" applyNumberFormat="1" applyFont="1" applyFill="1"/>
    <xf numFmtId="44" fontId="13" fillId="3" borderId="0" xfId="0" applyNumberFormat="1" applyFont="1" applyFill="1"/>
    <xf numFmtId="44" fontId="12" fillId="3" borderId="0" xfId="0" applyNumberFormat="1" applyFont="1" applyFill="1"/>
    <xf numFmtId="0" fontId="9" fillId="4" borderId="4" xfId="0" applyFont="1" applyFill="1" applyBorder="1"/>
    <xf numFmtId="44" fontId="9" fillId="4" borderId="4" xfId="0" applyNumberFormat="1" applyFont="1" applyFill="1" applyBorder="1"/>
    <xf numFmtId="44" fontId="8" fillId="3" borderId="0" xfId="0" applyNumberFormat="1" applyFont="1" applyFill="1"/>
    <xf numFmtId="44" fontId="8" fillId="5" borderId="0" xfId="0" applyNumberFormat="1" applyFont="1" applyFill="1"/>
    <xf numFmtId="44" fontId="14" fillId="2" borderId="0" xfId="0" applyNumberFormat="1" applyFont="1" applyFill="1"/>
    <xf numFmtId="44" fontId="14" fillId="3" borderId="0" xfId="0" applyNumberFormat="1" applyFont="1" applyFill="1"/>
    <xf numFmtId="44" fontId="14" fillId="5" borderId="0" xfId="0" applyNumberFormat="1" applyFont="1" applyFill="1"/>
    <xf numFmtId="44" fontId="15" fillId="3" borderId="0" xfId="0" applyNumberFormat="1" applyFont="1" applyFill="1"/>
    <xf numFmtId="44" fontId="16" fillId="3" borderId="0" xfId="0" applyNumberFormat="1" applyFont="1" applyFill="1"/>
    <xf numFmtId="44" fontId="16" fillId="5" borderId="0" xfId="0" applyNumberFormat="1" applyFont="1" applyFill="1"/>
    <xf numFmtId="44" fontId="17" fillId="5" borderId="0" xfId="0" applyNumberFormat="1" applyFont="1" applyFill="1"/>
    <xf numFmtId="44" fontId="17" fillId="3" borderId="0" xfId="0" applyNumberFormat="1" applyFont="1" applyFill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8" fillId="0" borderId="0" xfId="0" applyFont="1"/>
    <xf numFmtId="44" fontId="10" fillId="6" borderId="0" xfId="0" applyNumberFormat="1" applyFont="1" applyFill="1"/>
    <xf numFmtId="0" fontId="1" fillId="0" borderId="6" xfId="0" applyFont="1" applyBorder="1"/>
    <xf numFmtId="0" fontId="1" fillId="0" borderId="1" xfId="0" applyFont="1" applyBorder="1"/>
    <xf numFmtId="44" fontId="1" fillId="0" borderId="0" xfId="0" applyNumberFormat="1" applyFont="1"/>
    <xf numFmtId="44" fontId="1" fillId="0" borderId="1" xfId="0" applyNumberFormat="1" applyFont="1" applyBorder="1"/>
    <xf numFmtId="0" fontId="23" fillId="2" borderId="3" xfId="0" applyFont="1" applyFill="1" applyBorder="1"/>
    <xf numFmtId="44" fontId="6" fillId="8" borderId="0" xfId="0" applyNumberFormat="1" applyFont="1" applyFill="1"/>
    <xf numFmtId="44" fontId="6" fillId="9" borderId="0" xfId="0" applyNumberFormat="1" applyFont="1" applyFill="1"/>
    <xf numFmtId="44" fontId="14" fillId="9" borderId="0" xfId="0" applyNumberFormat="1" applyFont="1" applyFill="1"/>
    <xf numFmtId="44" fontId="8" fillId="9" borderId="0" xfId="0" applyNumberFormat="1" applyFont="1" applyFill="1"/>
    <xf numFmtId="0" fontId="23" fillId="3" borderId="0" xfId="0" applyFont="1" applyFill="1"/>
    <xf numFmtId="0" fontId="23" fillId="5" borderId="0" xfId="0" applyFont="1" applyFill="1"/>
    <xf numFmtId="44" fontId="6" fillId="10" borderId="0" xfId="0" applyNumberFormat="1" applyFont="1" applyFill="1"/>
    <xf numFmtId="44" fontId="14" fillId="10" borderId="0" xfId="0" applyNumberFormat="1" applyFont="1" applyFill="1"/>
    <xf numFmtId="44" fontId="8" fillId="10" borderId="0" xfId="0" applyNumberFormat="1" applyFont="1" applyFill="1"/>
    <xf numFmtId="0" fontId="23" fillId="4" borderId="7" xfId="0" applyFont="1" applyFill="1" applyBorder="1"/>
    <xf numFmtId="44" fontId="6" fillId="4" borderId="7" xfId="0" applyNumberFormat="1" applyFont="1" applyFill="1" applyBorder="1"/>
    <xf numFmtId="44" fontId="6" fillId="8" borderId="7" xfId="0" applyNumberFormat="1" applyFont="1" applyFill="1" applyBorder="1"/>
    <xf numFmtId="0" fontId="0" fillId="0" borderId="7" xfId="0" applyBorder="1"/>
    <xf numFmtId="0" fontId="24" fillId="2" borderId="3" xfId="0" applyFont="1" applyFill="1" applyBorder="1"/>
    <xf numFmtId="44" fontId="25" fillId="9" borderId="0" xfId="0" applyNumberFormat="1" applyFont="1" applyFill="1"/>
    <xf numFmtId="44" fontId="26" fillId="9" borderId="0" xfId="0" applyNumberFormat="1" applyFont="1" applyFill="1"/>
    <xf numFmtId="44" fontId="27" fillId="9" borderId="0" xfId="0" applyNumberFormat="1" applyFont="1" applyFill="1"/>
    <xf numFmtId="0" fontId="24" fillId="2" borderId="0" xfId="0" applyFont="1" applyFill="1"/>
    <xf numFmtId="0" fontId="24" fillId="3" borderId="0" xfId="0" applyFont="1" applyFill="1"/>
    <xf numFmtId="44" fontId="26" fillId="10" borderId="0" xfId="0" applyNumberFormat="1" applyFont="1" applyFill="1"/>
    <xf numFmtId="44" fontId="25" fillId="10" borderId="0" xfId="0" applyNumberFormat="1" applyFont="1" applyFill="1"/>
    <xf numFmtId="0" fontId="24" fillId="4" borderId="0" xfId="0" applyFont="1" applyFill="1"/>
    <xf numFmtId="44" fontId="5" fillId="4" borderId="2" xfId="0" applyNumberFormat="1" applyFont="1" applyFill="1" applyBorder="1"/>
    <xf numFmtId="44" fontId="26" fillId="8" borderId="0" xfId="0" applyNumberFormat="1" applyFont="1" applyFill="1"/>
    <xf numFmtId="17" fontId="0" fillId="0" borderId="0" xfId="0" applyNumberFormat="1"/>
    <xf numFmtId="0" fontId="0" fillId="11" borderId="0" xfId="0" applyFill="1"/>
    <xf numFmtId="0" fontId="0" fillId="11" borderId="0" xfId="0" applyFill="1" applyAlignment="1">
      <alignment horizontal="center"/>
    </xf>
    <xf numFmtId="0" fontId="0" fillId="12" borderId="0" xfId="0" applyFill="1"/>
    <xf numFmtId="0" fontId="28" fillId="0" borderId="0" xfId="0" applyFont="1"/>
    <xf numFmtId="0" fontId="28" fillId="12" borderId="0" xfId="0" applyFont="1" applyFill="1"/>
    <xf numFmtId="17" fontId="28" fillId="12" borderId="0" xfId="0" applyNumberFormat="1" applyFont="1" applyFill="1"/>
    <xf numFmtId="0" fontId="28" fillId="11" borderId="0" xfId="0" applyFont="1" applyFill="1"/>
    <xf numFmtId="0" fontId="22" fillId="7" borderId="0" xfId="1"/>
    <xf numFmtId="0" fontId="29" fillId="13" borderId="0" xfId="0" applyFont="1" applyFill="1"/>
    <xf numFmtId="0" fontId="0" fillId="0" borderId="0" xfId="0" applyAlignment="1">
      <alignment wrapText="1"/>
    </xf>
    <xf numFmtId="0" fontId="31" fillId="14" borderId="8" xfId="0" applyFont="1" applyFill="1" applyBorder="1"/>
    <xf numFmtId="0" fontId="31" fillId="14" borderId="9" xfId="0" applyFont="1" applyFill="1" applyBorder="1"/>
    <xf numFmtId="0" fontId="32" fillId="14" borderId="8" xfId="0" applyFont="1" applyFill="1" applyBorder="1"/>
    <xf numFmtId="0" fontId="31" fillId="14" borderId="0" xfId="0" applyFont="1" applyFill="1"/>
    <xf numFmtId="0" fontId="31" fillId="15" borderId="8" xfId="0" applyFont="1" applyFill="1" applyBorder="1"/>
    <xf numFmtId="0" fontId="0" fillId="3" borderId="8" xfId="0" applyFill="1" applyBorder="1"/>
    <xf numFmtId="0" fontId="19" fillId="3" borderId="8" xfId="0" applyFont="1" applyFill="1" applyBorder="1"/>
    <xf numFmtId="0" fontId="0" fillId="10" borderId="8" xfId="0" applyFill="1" applyBorder="1"/>
    <xf numFmtId="0" fontId="0" fillId="3" borderId="10" xfId="0" applyFill="1" applyBorder="1"/>
    <xf numFmtId="0" fontId="0" fillId="10" borderId="10" xfId="0" applyFill="1" applyBorder="1"/>
    <xf numFmtId="0" fontId="0" fillId="0" borderId="9" xfId="0" applyFill="1" applyBorder="1"/>
    <xf numFmtId="164" fontId="0" fillId="0" borderId="0" xfId="2" applyNumberFormat="1" applyFont="1"/>
    <xf numFmtId="0" fontId="0" fillId="12" borderId="0" xfId="0" applyFont="1" applyFill="1"/>
    <xf numFmtId="17" fontId="0" fillId="12" borderId="0" xfId="0" applyNumberFormat="1" applyFont="1" applyFill="1"/>
    <xf numFmtId="0" fontId="0" fillId="11" borderId="0" xfId="0" applyFont="1" applyFill="1"/>
    <xf numFmtId="44" fontId="33" fillId="5" borderId="0" xfId="0" applyNumberFormat="1" applyFont="1" applyFill="1"/>
    <xf numFmtId="0" fontId="3" fillId="16" borderId="0" xfId="0" applyFont="1" applyFill="1"/>
    <xf numFmtId="44" fontId="6" fillId="11" borderId="0" xfId="0" applyNumberFormat="1" applyFont="1" applyFill="1"/>
    <xf numFmtId="44" fontId="5" fillId="11" borderId="0" xfId="0" applyNumberFormat="1" applyFont="1" applyFill="1"/>
    <xf numFmtId="44" fontId="10" fillId="9" borderId="0" xfId="0" applyNumberFormat="1" applyFont="1" applyFill="1"/>
    <xf numFmtId="44" fontId="31" fillId="11" borderId="0" xfId="0" applyNumberFormat="1" applyFont="1" applyFill="1"/>
    <xf numFmtId="15" fontId="0" fillId="11" borderId="0" xfId="0" applyNumberFormat="1" applyFill="1"/>
    <xf numFmtId="15" fontId="3" fillId="16" borderId="0" xfId="0" applyNumberFormat="1" applyFont="1" applyFill="1"/>
    <xf numFmtId="17" fontId="0" fillId="0" borderId="0" xfId="0" applyNumberFormat="1" applyAlignment="1">
      <alignment horizontal="left"/>
    </xf>
    <xf numFmtId="164" fontId="0" fillId="0" borderId="0" xfId="2" applyNumberFormat="1" applyFont="1" applyAlignment="1">
      <alignment horizontal="left"/>
    </xf>
    <xf numFmtId="0" fontId="0" fillId="0" borderId="0" xfId="0" applyAlignment="1">
      <alignment horizontal="right"/>
    </xf>
    <xf numFmtId="0" fontId="5" fillId="12" borderId="0" xfId="0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0" fillId="0" borderId="0" xfId="0"/>
    <xf numFmtId="0" fontId="34" fillId="12" borderId="0" xfId="0" applyFont="1" applyFill="1"/>
    <xf numFmtId="17" fontId="34" fillId="12" borderId="0" xfId="0" applyNumberFormat="1" applyFont="1" applyFill="1"/>
    <xf numFmtId="0" fontId="34" fillId="17" borderId="0" xfId="0" applyFont="1" applyFill="1"/>
  </cellXfs>
  <cellStyles count="3">
    <cellStyle name="Bad" xfId="1" builtinId="27"/>
    <cellStyle name="Comma" xfId="2" builtinId="3"/>
    <cellStyle name="Normal" xfId="0" builtinId="0"/>
  </cellStyles>
  <dxfs count="201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&quot;R&quot;#,##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&quot;R&quot;#,##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&quot;R&quot;#,##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&quot;R&quot;#,##0.00"/>
      <alignment horizontal="left" vertical="bottom" textRotation="0" wrapText="0" indent="0" justifyLastLine="0" shrinkToFit="0" readingOrder="0"/>
    </dxf>
    <dxf>
      <numFmt numFmtId="22" formatCode="mmm\-yy"/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&quot;R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9.9978637043366805E-2"/>
        <name val="Aptos Narrow"/>
        <family val="2"/>
        <scheme val="minor"/>
      </font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ont>
        <color theme="2" tint="-9.9978637043366805E-2"/>
      </font>
      <numFmt numFmtId="22" formatCode="mmm\-yy"/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000000"/>
          <bgColor rgb="FFF7C7AC"/>
        </patternFill>
      </fill>
    </dxf>
    <dxf>
      <numFmt numFmtId="22" formatCode="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Debt</a:t>
            </a:r>
            <a:r>
              <a:rPr lang="en-GB" baseline="0"/>
              <a:t> progression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19"/>
            <c:spPr>
              <a:solidFill>
                <a:schemeClr val="bg1"/>
              </a:soli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'Bernice Credit Card'!$K$7:$U$7</c:f>
              <c:strCache>
                <c:ptCount val="3"/>
                <c:pt idx="0">
                  <c:v> 2025-10-01 </c:v>
                </c:pt>
                <c:pt idx="1">
                  <c:v> 2025-11-01 </c:v>
                </c:pt>
                <c:pt idx="2">
                  <c:v> 2025-12-01 </c:v>
                </c:pt>
              </c:strCache>
            </c:strRef>
          </c:cat>
          <c:val>
            <c:numRef>
              <c:f>'Bernice Credit Card'!$K$16:$U$16</c:f>
              <c:numCache>
                <c:formatCode>_("R"* #,##0.00_);_("R"* \(#,##0.00\);_("R"* "-"??_);_(@_)</c:formatCode>
                <c:ptCount val="3"/>
                <c:pt idx="0">
                  <c:v>-6010.270833333333</c:v>
                </c:pt>
                <c:pt idx="1">
                  <c:v>-4094.1641970486107</c:v>
                </c:pt>
                <c:pt idx="2">
                  <c:v>-2151.3119056324144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12-CE40-A087-8AA65C18F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0079"/>
        <c:axId val="328521727"/>
      </c:lineChart>
      <c:catAx>
        <c:axId val="411007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2400" b="0" i="0" u="none" strike="noStrike" kern="1200" cap="none" spc="0" baseline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21727"/>
        <c:crosses val="autoZero"/>
        <c:auto val="1"/>
        <c:lblAlgn val="ctr"/>
        <c:lblOffset val="100"/>
        <c:noMultiLvlLbl val="0"/>
      </c:catAx>
      <c:valAx>
        <c:axId val="32852172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&quot;* #,##0.00_);_(&quot;R&quot;* \(#,##0.00\);_(&quot;R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22</xdr:row>
      <xdr:rowOff>50800</xdr:rowOff>
    </xdr:from>
    <xdr:to>
      <xdr:col>37</xdr:col>
      <xdr:colOff>609600</xdr:colOff>
      <xdr:row>69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2FCFCB-959C-7745-908D-B1B7D65D36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ay/GIT-Repos-Personal/ftrack/Archive/original-excel-sources/budget_jeanre%20Backup%20with%20all%20accounts.xlsx" TargetMode="External"/><Relationship Id="rId1" Type="http://schemas.openxmlformats.org/officeDocument/2006/relationships/externalLinkPath" Target="budget_jeanre%20Backup%20with%20all%20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eanre Transactional"/>
      <sheetName val="Bernice Transactional"/>
      <sheetName val="Bernice Credit Card"/>
      <sheetName val="Jeanre Credit Card "/>
      <sheetName val="Running Costs"/>
      <sheetName val="Home Loan"/>
      <sheetName val="Jodine U"/>
      <sheetName val="Emergency"/>
      <sheetName val="Personal Wealth"/>
      <sheetName val="Dec 2025 calcs"/>
      <sheetName val="Jeanre Credit Card-old"/>
      <sheetName val="Bernice Credit Card-old"/>
      <sheetName val="formula build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8AF483-6833-C345-BA9D-0EF06231DA67}" name="jtrn" displayName="jtrn" ref="A1:V44" totalsRowCount="1" headerRowDxfId="200" dataDxfId="199">
  <autoFilter ref="A1:V43" xr:uid="{168AF483-6833-C345-BA9D-0EF06231DA67}"/>
  <tableColumns count="22">
    <tableColumn id="1" xr3:uid="{53007CBC-089F-9844-888D-4AFD025D21A4}" name="Movement" totalsRowLabel="Subtotal" dataDxfId="198" totalsRowDxfId="21"/>
    <tableColumn id="2" xr3:uid="{E7670F3E-FFC8-B44C-B726-CCCD0DDE580C}" name="Account Secondary" totalsRowLabel="Jeanre Transactional" dataDxfId="197" totalsRowDxfId="20"/>
    <tableColumn id="3" xr3:uid="{BC34C8F0-D5A8-A942-ACF9-3833C647F3AA}" name="2024-05-01" totalsRowFunction="custom" dataDxfId="196" totalsRowDxfId="19">
      <totalsRowFormula>SUMIF('Jeanre Transactional'!$A$2:$A$44,"Credit", 'Jeanre Transactional'!$C$2:$C$44)-SUMIF('Jeanre Transactional'!$A$2:$A$44,"Debit", 'Jeanre Transactional'!$C$2:$C$44)</totalsRowFormula>
    </tableColumn>
    <tableColumn id="4" xr3:uid="{12E99681-3EF3-154C-81F1-3C68ABFA379F}" name="2024-06-01" totalsRowFunction="custom" dataDxfId="195" totalsRowDxfId="18">
      <totalsRowFormula>SUMIF('Jeanre Transactional'!$A$2:$A$44,"Credit", 'Jeanre Transactional'!$D$2:$D$44)-SUMIF('Jeanre Transactional'!$A$2:$A$44,"Debit", 'Jeanre Transactional'!$D$2:$D$44)</totalsRowFormula>
    </tableColumn>
    <tableColumn id="5" xr3:uid="{F853A505-CD2D-424A-AB56-7C307ACC3B35}" name="2024-07-01" totalsRowFunction="custom" dataDxfId="194" totalsRowDxfId="17">
      <totalsRowFormula>SUMIF('Jeanre Transactional'!$A$2:$A$44,"Credit", 'Jeanre Transactional'!$E$2:$E$44)-SUMIF('Jeanre Transactional'!$A$2:$A$44,"Debit", 'Jeanre Transactional'!$E$2:$E$44)</totalsRowFormula>
    </tableColumn>
    <tableColumn id="6" xr3:uid="{7A5E017B-4309-9E43-8312-61D7567F2717}" name="2024-08-01" totalsRowFunction="custom" dataDxfId="193" totalsRowDxfId="16">
      <totalsRowFormula>SUMIF('Jeanre Transactional'!$A$2:$A$44,"Credit", 'Jeanre Transactional'!$F$2:$F$44)-SUMIF('Jeanre Transactional'!$A$2:$A$44,"Debit", 'Jeanre Transactional'!$F$2:$F$44)</totalsRowFormula>
    </tableColumn>
    <tableColumn id="7" xr3:uid="{35A69827-17E6-D747-80AA-A3903629E38D}" name="2024-09-01" totalsRowFunction="custom" dataDxfId="192" totalsRowDxfId="15">
      <totalsRowFormula>SUMIF('Jeanre Transactional'!$A$2:$A$44,"Credit", 'Jeanre Transactional'!$G$2:$G$44)-SUMIF('Jeanre Transactional'!$A$2:$A$44,"Debit", 'Jeanre Transactional'!$G$2:$G$44)</totalsRowFormula>
    </tableColumn>
    <tableColumn id="8" xr3:uid="{07201ECD-0600-9049-8CF3-536066F50B85}" name="2024-10-01" totalsRowFunction="custom" dataDxfId="191" totalsRowDxfId="14">
      <totalsRowFormula>SUMIF('Jeanre Transactional'!$A$2:$A$44,"Credit", 'Jeanre Transactional'!$H$2:$H$44)-SUMIF('Jeanre Transactional'!$A$2:$A$44,"Debit", 'Jeanre Transactional'!$H$2:$H$44)</totalsRowFormula>
    </tableColumn>
    <tableColumn id="9" xr3:uid="{95C89772-EB84-6148-A713-02DB6582171E}" name="2024-11-01" totalsRowFunction="custom" dataDxfId="190" totalsRowDxfId="13">
      <totalsRowFormula>SUMIF('Jeanre Transactional'!$A$2:$A$44,"Credit", 'Jeanre Transactional'!$I$2:$I$44)-SUMIF('Jeanre Transactional'!$A$2:$A$44,"Debit", 'Jeanre Transactional'!$I$2:$I$44)</totalsRowFormula>
    </tableColumn>
    <tableColumn id="10" xr3:uid="{78C2C3D1-00C3-B447-A15B-F22E336A2B58}" name="2024-12-01" totalsRowFunction="custom" dataDxfId="189" totalsRowDxfId="12">
      <totalsRowFormula>SUMIF('Jeanre Transactional'!$A$2:$A$44,"Credit", 'Jeanre Transactional'!$J$2:$J$44)-SUMIF('Jeanre Transactional'!$A$2:$A$44,"Debit", 'Jeanre Transactional'!$J$2:$J$44)</totalsRowFormula>
    </tableColumn>
    <tableColumn id="11" xr3:uid="{A6168F27-4891-0749-92DD-57A77D1DACAA}" name="2025-01-01" totalsRowFunction="custom" dataDxfId="188" totalsRowDxfId="11">
      <totalsRowFormula>SUMIF(jtrn[Movement], "Credit", jtrn[2025-01-01]) - SUMIF(jtrn[Movement], "Debit", jtrn[2025-01-01])</totalsRowFormula>
    </tableColumn>
    <tableColumn id="12" xr3:uid="{58BC0315-6C75-9548-B003-5335630C1315}" name="2025-02-01" totalsRowFunction="custom" dataDxfId="187" totalsRowDxfId="10">
      <totalsRowFormula>SUMIF(jtrn[Movement], "Credit", jtrn[2025-02-01]) - SUMIF(jtrn[Movement], "Debit", jtrn[2025-02-01])</totalsRowFormula>
    </tableColumn>
    <tableColumn id="13" xr3:uid="{896888D1-CC44-3042-B2FE-75BF30E0F183}" name="2025-03-01" totalsRowFunction="custom" dataDxfId="186" totalsRowDxfId="9">
      <totalsRowFormula>SUMIF(jtrn[Movement], "Credit", jtrn[2025-03-01]) - SUMIF(jtrn[Movement], "Debit", jtrn[2025-03-01])</totalsRowFormula>
    </tableColumn>
    <tableColumn id="14" xr3:uid="{1670E3CE-2F37-E048-813C-B7C337151740}" name="2025-04-01" totalsRowFunction="custom" dataDxfId="185" totalsRowDxfId="8">
      <totalsRowFormula>SUMIF(jtrn[Movement], "Credit", jtrn[2025-04-01]) - SUMIF(jtrn[Movement], "Debit", jtrn[2025-04-01])</totalsRowFormula>
    </tableColumn>
    <tableColumn id="15" xr3:uid="{6572C763-49E9-AA4F-9718-2BC9B7E57762}" name="2025-05-01" totalsRowFunction="custom" dataDxfId="184" totalsRowDxfId="7">
      <totalsRowFormula>SUMIF(jtrn[Movement], "Credit", jtrn[2025-05-01]) - SUMIF(jtrn[Movement], "Debit", jtrn[2025-05-01])</totalsRowFormula>
    </tableColumn>
    <tableColumn id="16" xr3:uid="{99AC582F-E016-EB4C-A534-6BAC5A7AD88A}" name="2025-06-01" totalsRowFunction="custom" dataDxfId="183" totalsRowDxfId="6">
      <totalsRowFormula>SUMIF(jtrn[Movement], "Credit", jtrn[2025-06-01]) - SUMIF(jtrn[Movement], "Debit", jtrn[2025-06-01])</totalsRowFormula>
    </tableColumn>
    <tableColumn id="17" xr3:uid="{2AFE4E94-A26F-1648-B078-CC1ACB60F61E}" name="2025-07-01" totalsRowFunction="custom" dataDxfId="182" totalsRowDxfId="5">
      <totalsRowFormula>SUMIF(jtrn[Movement], "Credit", jtrn[2025-07-01]) - SUMIF(jtrn[Movement], "Debit", jtrn[2025-07-01])</totalsRowFormula>
    </tableColumn>
    <tableColumn id="18" xr3:uid="{9169B43F-AE90-B84E-BB9B-3E2730E4B499}" name="2025-08-01" totalsRowFunction="custom" dataDxfId="181" totalsRowDxfId="4">
      <totalsRowFormula>SUMIF(jtrn[Movement], "Credit", jtrn[2025-08-01]) - SUMIF(jtrn[Movement], "Debit", jtrn[2025-08-01])</totalsRowFormula>
    </tableColumn>
    <tableColumn id="19" xr3:uid="{16A4B7C1-DCCD-BC42-80A2-5A9B0AFE62B7}" name="2025-09-01" totalsRowFunction="custom" dataDxfId="180" totalsRowDxfId="3">
      <totalsRowFormula>SUMIF(jtrn[Movement], "Credit", jtrn[2025-09-01]) - SUMIF(jtrn[Movement], "Debit", jtrn[2025-09-01])</totalsRowFormula>
    </tableColumn>
    <tableColumn id="20" xr3:uid="{DA0D9353-5004-BC49-A034-377720B302FE}" name="2025-10-01" totalsRowFunction="custom" dataDxfId="179" totalsRowDxfId="2">
      <totalsRowFormula>SUMIF(jtrn[Movement], "Credit", jtrn[2025-10-01]) - SUMIF(jtrn[Movement], "Debit", jtrn[2025-10-01])</totalsRowFormula>
    </tableColumn>
    <tableColumn id="21" xr3:uid="{2CAF52BB-84EF-4B4E-9560-96A6E500A093}" name="2025-11-01" totalsRowFunction="custom" dataDxfId="178" totalsRowDxfId="1">
      <totalsRowFormula>SUMIF(jtrn[Movement], "Credit", jtrn[2025-11-01]) - SUMIF(jtrn[Movement], "Debit", jtrn[2025-11-01])</totalsRowFormula>
    </tableColumn>
    <tableColumn id="22" xr3:uid="{2627D4F2-2727-3545-907E-0FB0C0AA352F}" name="2025-12-01" totalsRowFunction="custom" dataDxfId="177" totalsRowDxfId="0">
      <totalsRowFormula>SUMIF(jtrn[Movement], "Credit", jtrn[2025-12-01]) - SUMIF(jtrn[Movement], "Debit", jtrn[2025-12-01])</totalsRow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189C74-AB7A-4042-A628-51F2948DFA4E}" name="btrn" displayName="btrn" ref="A1:W15" totalsRowShown="0" headerRowDxfId="176" dataDxfId="175">
  <autoFilter ref="A1:W15" xr:uid="{92565AF6-51CB-F740-ACD0-AD376C5F8FE0}"/>
  <tableColumns count="23">
    <tableColumn id="5" xr3:uid="{E444B3A7-5FA9-1347-B586-83F8BDB4063A}" name="Movement" dataDxfId="174"/>
    <tableColumn id="6" xr3:uid="{216BF1EC-58A3-654A-970D-1ACF5D875DE3}" name="Account Secondary" dataDxfId="173"/>
    <tableColumn id="7" xr3:uid="{6F5B9C15-6064-3E4F-9329-3640A7457175}" name="2024-05-01" dataDxfId="172"/>
    <tableColumn id="8" xr3:uid="{EE61507D-55B4-9546-A181-A2A9D5923835}" name="2024-06-01" dataDxfId="171"/>
    <tableColumn id="9" xr3:uid="{9DE8C9FC-1D16-E04E-A1A0-83D572E035AB}" name="2024-07-01" dataDxfId="170"/>
    <tableColumn id="10" xr3:uid="{AD8961BC-0A9D-9A4E-B6E7-6DF513458433}" name="2024-08-01" dataDxfId="169"/>
    <tableColumn id="11" xr3:uid="{7F4A8985-4EA5-3A46-BF4C-5EDF457A49BD}" name="2024-09-01" dataDxfId="168"/>
    <tableColumn id="12" xr3:uid="{BBD116D3-8396-9847-BFCF-5336D6D51414}" name="2024-10-01" dataDxfId="167"/>
    <tableColumn id="13" xr3:uid="{4578241D-4532-2B4F-8DCB-42B5C35DCF32}" name="2024-11-01" dataDxfId="166"/>
    <tableColumn id="14" xr3:uid="{D5DEB8D2-5EC5-DE4E-9AB4-2DF69FC5D163}" name="2024-12-01" dataDxfId="165"/>
    <tableColumn id="1" xr3:uid="{D212CAD3-76A6-F04C-AAA9-D8B152A8DAA4}" name="2024-12-02" dataDxfId="164"/>
    <tableColumn id="2" xr3:uid="{1EFAA8BB-C0B7-394C-9306-455D9488903A}" name="2025-01-01" dataDxfId="163"/>
    <tableColumn id="3" xr3:uid="{3635354A-5C1E-B447-800E-764AF5AB3FD2}" name="2025-02-01" dataDxfId="162">
      <calculatedColumnFormula>SUMIF([1]!jtrn[Movement], "Credit", [1]!jtrn[2025-02-01]) - SUMIF([1]!jtrn[Movement], "Debit", [1]!jtrn[2025-02-01])</calculatedColumnFormula>
    </tableColumn>
    <tableColumn id="4" xr3:uid="{48347CFF-D160-224A-97F4-DDE6C6D04ACB}" name="2025-03-01" dataDxfId="161">
      <calculatedColumnFormula>SUMIF([1]!jtrn[Movement], "Credit", [1]!jtrn[2025-03-01]) - SUMIF([1]!jtrn[Movement], "Debit", [1]!jtrn[2025-03-01])</calculatedColumnFormula>
    </tableColumn>
    <tableColumn id="15" xr3:uid="{75D393BC-61CB-6E41-B575-5601C5280B5D}" name="2025-04-01" dataDxfId="160">
      <calculatedColumnFormula>SUMIF([1]!jtrn[Movement], "Credit", [1]!jtrn[2025-04-01]) - SUMIF([1]!jtrn[Movement], "Debit", [1]!jtrn[2025-04-01])</calculatedColumnFormula>
    </tableColumn>
    <tableColumn id="16" xr3:uid="{67492099-79A6-A846-BDBB-2F13ECB7C6B9}" name="2025-05-01" dataDxfId="159">
      <calculatedColumnFormula>SUMIF([1]!jtrn[Movement], "Credit", [1]!jtrn[2025-05-01]) - SUMIF([1]!jtrn[Movement], "Debit", [1]!jtrn[2025-05-01])</calculatedColumnFormula>
    </tableColumn>
    <tableColumn id="17" xr3:uid="{BC561F41-ACD6-9A4A-8D60-DF3680F3A5B8}" name="2025-06-01" dataDxfId="158">
      <calculatedColumnFormula>SUMIF([1]!jtrn[Movement], "Credit", [1]!jtrn[2025-06-01]) - SUMIF([1]!jtrn[Movement], "Debit", [1]!jtrn[2025-06-01])</calculatedColumnFormula>
    </tableColumn>
    <tableColumn id="18" xr3:uid="{CC12AD14-2B38-FA4F-AB46-D8E9993AC87D}" name="2025-07-01" dataDxfId="157">
      <calculatedColumnFormula>SUMIF([1]!jtrn[Movement], "Credit", [1]!jtrn[2025-07-01]) - SUMIF([1]!jtrn[Movement], "Debit", [1]!jtrn[2025-07-01])</calculatedColumnFormula>
    </tableColumn>
    <tableColumn id="19" xr3:uid="{B2CD98BB-2238-B74B-BA6D-AB4993F1B231}" name="2025-08-01" dataDxfId="156">
      <calculatedColumnFormula>SUMIF([1]!jtrn[Movement], "Credit", [1]!jtrn[2025-08-01]) - SUMIF([1]!jtrn[Movement], "Debit", [1]!jtrn[2025-08-01])</calculatedColumnFormula>
    </tableColumn>
    <tableColumn id="20" xr3:uid="{9D020FC3-4B23-BF45-8FD5-A53AE86F8199}" name="2025-09-01" dataDxfId="155">
      <calculatedColumnFormula>SUMIF([1]!jtrn[Movement], "Credit", [1]!jtrn[2025-09-01]) - SUMIF([1]!jtrn[Movement], "Debit", [1]!jtrn[2025-09-01])</calculatedColumnFormula>
    </tableColumn>
    <tableColumn id="21" xr3:uid="{56776FC6-7F68-A54B-980D-25DAEE6E12CB}" name="2025-10-01" dataDxfId="154">
      <calculatedColumnFormula>SUMIF([1]!jtrn[Movement], "Credit", [1]!jtrn[2025-10-01]) - SUMIF([1]!jtrn[Movement], "Debit", [1]!jtrn[2025-10-01])</calculatedColumnFormula>
    </tableColumn>
    <tableColumn id="22" xr3:uid="{C4A5AA97-69C5-B74F-BF33-C84702FC9653}" name="2025-11-01" dataDxfId="153">
      <calculatedColumnFormula>SUMIF([1]!jtrn[Movement], "Credit", [1]!jtrn[2025-11-01]) - SUMIF([1]!jtrn[Movement], "Debit", [1]!jtrn[2025-11-01])</calculatedColumnFormula>
    </tableColumn>
    <tableColumn id="23" xr3:uid="{A27EA188-8BF0-FB4A-B9AB-94DD5D0D2BD3}" name="2025-12-01" dataDxfId="152">
      <calculatedColumnFormula>SUMIF([1]!jtrn[Movement], "Credit", [1]!jtrn[2025-12-01]) - SUMIF([1]!jtrn[Movement], "Debit", [1]!jtrn[2025-12-01])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4A002C-4C9C-D84C-AC4C-5C89F18BFFB8}" name="bcc_1" displayName="bcc_1" ref="A7:U17" totalsRowShown="0" headerRowDxfId="151" dataDxfId="150">
  <autoFilter ref="A7:U17" xr:uid="{D9073226-BE95-ED4B-8E84-34502A072542}"/>
  <tableColumns count="21">
    <tableColumn id="5" xr3:uid="{52FC5002-DBCA-354E-BE63-828F9646BB82}" name="Movement" dataDxfId="149"/>
    <tableColumn id="6" xr3:uid="{34C429FE-4839-CA40-9668-00A8663206C1}" name="Account Secondary" dataDxfId="148"/>
    <tableColumn id="7" xr3:uid="{1705A918-DF10-F646-A2F6-9E9C4EE8BA42}" name="2024-05-01" dataDxfId="147"/>
    <tableColumn id="8" xr3:uid="{6C2F4081-622E-5140-9646-E9C5A18B166D}" name="2024-06-01" dataDxfId="146"/>
    <tableColumn id="9" xr3:uid="{EB8C07E9-22F3-2A4C-9B22-C45342C2BB73}" name="2024-07-01" dataDxfId="145"/>
    <tableColumn id="10" xr3:uid="{D5B47627-7D6E-0A4B-BBAC-3CB132B00955}" name="2024-08-01" dataDxfId="144"/>
    <tableColumn id="11" xr3:uid="{C6C07334-9454-A64A-8E83-6B1A9BAC12AB}" name="2024-09-01" dataDxfId="143"/>
    <tableColumn id="12" xr3:uid="{5D1DEA4E-4B7A-8C4C-AD9B-CB9228AF40FB}" name="2024-10-01" dataDxfId="142"/>
    <tableColumn id="13" xr3:uid="{5BACA94F-DD04-D846-B0AC-5937F0376874}" name="2024-11-01" dataDxfId="141"/>
    <tableColumn id="14" xr3:uid="{B3339E0A-4D57-7B4B-9343-A2F6142BF80E}" name="2024-12-01" dataDxfId="140"/>
    <tableColumn id="1" xr3:uid="{9C9261E0-8AAD-7749-9DE6-3D335DFD2262}" name="2025-02-01" dataDxfId="139">
      <calculatedColumnFormula>SUMIF([1]!btrn[Movement], "Credit", [1]!btrn[2025-02-01]) - SUMIF([1]!btrn[Movement], "Debit", [1]!btrn[2025-02-01])</calculatedColumnFormula>
    </tableColumn>
    <tableColumn id="2" xr3:uid="{0219261B-8395-3B4C-A5FF-6737691E6B00}" name="2025-03-01" dataDxfId="138">
      <calculatedColumnFormula>SUMIF([1]!btrn[Movement], "Credit", [1]!btrn[2025-03-01]) - SUMIF([1]!btrn[Movement], "Debit", [1]!btrn[2025-03-01])</calculatedColumnFormula>
    </tableColumn>
    <tableColumn id="3" xr3:uid="{20F63B89-E79C-3544-8096-C7113655F59B}" name="2025-04-01" dataDxfId="137">
      <calculatedColumnFormula>SUMIF([1]!btrn[Movement], "Credit", [1]!btrn[2025-04-01]) - SUMIF([1]!btrn[Movement], "Debit", [1]!btrn[2025-04-01])</calculatedColumnFormula>
    </tableColumn>
    <tableColumn id="4" xr3:uid="{02FA685D-691B-7A43-8C67-6AF8518ECB05}" name="2025-05-01" dataDxfId="136">
      <calculatedColumnFormula>SUMIF([1]!btrn[Movement], "Credit", [1]!btrn[2025-05-01]) - SUMIF([1]!btrn[Movement], "Debit", [1]!btrn[2025-05-01])</calculatedColumnFormula>
    </tableColumn>
    <tableColumn id="15" xr3:uid="{F8E206BD-34AE-354D-B00C-590EFA46D8D3}" name="2025-06-01" dataDxfId="135">
      <calculatedColumnFormula>SUMIF([1]!btrn[Movement], "Credit", [1]!btrn[2025-06-01]) - SUMIF([1]!btrn[Movement], "Debit", [1]!btrn[2025-06-01])</calculatedColumnFormula>
    </tableColumn>
    <tableColumn id="16" xr3:uid="{83DDCB0C-0432-4A42-909F-27616D580776}" name="2025-07-01" dataDxfId="134">
      <calculatedColumnFormula>SUMIF([1]!btrn[Movement], "Credit", [1]!btrn[2025-07-01]) - SUMIF([1]!btrn[Movement], "Debit", [1]!btrn[2025-07-01])</calculatedColumnFormula>
    </tableColumn>
    <tableColumn id="17" xr3:uid="{00937A0C-79B7-1840-98B0-3E2EB82E2DE1}" name="2025-08-01" dataDxfId="133">
      <calculatedColumnFormula>SUMIF([1]!btrn[Movement], "Credit", [1]!btrn[2025-08-01]) - SUMIF([1]!btrn[Movement], "Debit", [1]!btrn[2025-08-01])</calculatedColumnFormula>
    </tableColumn>
    <tableColumn id="18" xr3:uid="{DD22F63F-854F-9449-8950-2F6D9F990D25}" name="2025-09-01" dataDxfId="132">
      <calculatedColumnFormula>SUMIF([1]!btrn[Movement], "Credit", [1]!btrn[2025-09-01]) - SUMIF([1]!btrn[Movement], "Debit", [1]!btrn[2025-09-01])</calculatedColumnFormula>
    </tableColumn>
    <tableColumn id="19" xr3:uid="{61DEC637-56C3-7445-B74D-889830289B14}" name="2025-10-01" dataDxfId="131">
      <calculatedColumnFormula>SUMIF([1]!btrn[Movement], "Credit", [1]!btrn[2025-10-01]) - SUMIF([1]!btrn[Movement], "Debit", [1]!btrn[2025-10-01])</calculatedColumnFormula>
    </tableColumn>
    <tableColumn id="20" xr3:uid="{1C96376B-8924-8C45-868F-9EB1A7F0D0EB}" name="2025-11-01" dataDxfId="130">
      <calculatedColumnFormula>SUMIF([1]!btrn[Movement], "Credit", [1]!btrn[2025-11-01]) - SUMIF([1]!btrn[Movement], "Debit", [1]!btrn[2025-11-01])</calculatedColumnFormula>
    </tableColumn>
    <tableColumn id="21" xr3:uid="{58C689C4-5118-F949-86FE-0C5BEAC5C23D}" name="2025-12-01" dataDxfId="129">
      <calculatedColumnFormula>SUMIF([1]!btrn[Movement], "Credit", [1]!btrn[2025-12-01]) - SUMIF([1]!btrn[Movement], "Debit", [1]!btrn[2025-12-01])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1FAE71-7C7C-EC42-A88B-3B2C1AC7847A}" name="Table1114" displayName="Table1114" ref="A1:B3" totalsRowShown="0">
  <autoFilter ref="A1:B3" xr:uid="{929261B4-E0D1-DD4F-A316-416BC51ACF85}"/>
  <tableColumns count="2">
    <tableColumn id="1" xr3:uid="{EA60A250-AAAA-DF42-8464-EFDD231E18D0}" name="Item"/>
    <tableColumn id="2" xr3:uid="{D75FF848-C212-604B-A83D-115C233A3CB9}" name="Amount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4FD6714-CDB6-C842-8469-A739E22D050B}" name="Table510" displayName="Table510" ref="O3:W25" totalsRowShown="0">
  <autoFilter ref="O3:W25" xr:uid="{24FD6714-CDB6-C842-8469-A739E22D050B}"/>
  <tableColumns count="9">
    <tableColumn id="8" xr3:uid="{4089A218-5599-4E49-A489-574EB44AC544}" name="#" dataDxfId="60"/>
    <tableColumn id="1" xr3:uid="{6CC09F80-8B39-3F4D-8689-EFB1C884BD60}" name="Month" dataDxfId="54"/>
    <tableColumn id="2" xr3:uid="{7FCFD148-A4E5-5745-BFC2-49BE9D125AB3}" name="amount (agreed)" dataDxfId="59"/>
    <tableColumn id="3" xr3:uid="{9DF0F0FF-D748-9F4D-8CF0-126712ADBEE1}" name="Balance (predicted)" dataDxfId="58">
      <calculatedColumnFormula>R3+Q4</calculatedColumnFormula>
    </tableColumn>
    <tableColumn id="5" xr3:uid="{BFB21995-EF01-3545-A61B-6DE4698C4BCB}" name="amount Paid" dataDxfId="57"/>
    <tableColumn id="6" xr3:uid="{30394886-FE5C-DD40-935C-98177711C2E8}" name="Balance (Actual)" dataDxfId="56"/>
    <tableColumn id="7" xr3:uid="{DE79278C-C3D6-4D45-A248-88D9FFC1FE65}" name="Overdue" dataDxfId="55">
      <calculatedColumnFormula>T4-R4</calculatedColumnFormula>
    </tableColumn>
    <tableColumn id="9" xr3:uid="{A9C07664-1571-884A-A131-2C704C626ADE}" name="Payment Date" dataDxfId="52"/>
    <tableColumn id="4" xr3:uid="{5F1DF671-BADB-F246-B18A-B8E22E157823}" name="Notes" dataDxfId="53"/>
  </tableColumns>
  <tableStyleInfo name="TableStyleMedium2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64DBD5D-B76C-D34D-863F-E86CE5DC4C53}" name="Table10" displayName="Table10" ref="A1:H55" totalsRowShown="0" headerRowDxfId="50" dataDxfId="51" headerRowCellStyle="Comma" dataCellStyle="Comma">
  <autoFilter ref="A1:H55" xr:uid="{B64DBD5D-B76C-D34D-863F-E86CE5DC4C53}"/>
  <tableColumns count="8">
    <tableColumn id="1" xr3:uid="{5848FD1B-0B28-4D4F-BFDF-B7A4DC85DF16}" name="Month" dataDxfId="43"/>
    <tableColumn id="2" xr3:uid="{41D6D4FD-21DE-954F-AC59-55791FB60B5F}" name="Geely" dataDxfId="42" dataCellStyle="Comma"/>
    <tableColumn id="3" xr3:uid="{1CA9FC90-B5B4-C544-AF75-765645914E80}" name="Self" dataDxfId="41" dataCellStyle="Comma"/>
    <tableColumn id="4" xr3:uid="{9EB8CD99-E39A-DE4B-9D13-3E9F32E38BAF}" name="Month Total" dataDxfId="40" dataCellStyle="Comma"/>
    <tableColumn id="5" xr3:uid="{3605DE89-3282-9241-B414-8D2F071C23E3}" name="Costs Total" dataDxfId="39" dataCellStyle="Comma"/>
    <tableColumn id="6" xr3:uid="{35CE88AF-1CCB-4C46-B1E0-4EF4172BDA16}" name="Running Total" dataDxfId="38" dataCellStyle="Normal">
      <calculatedColumnFormula>SUM(B2:C2)-E2+F1</calculatedColumnFormula>
    </tableColumn>
    <tableColumn id="7" xr3:uid="{A3E9DED5-295D-B846-BBFF-FAC5745A34A9}" name="Running Total + Interest" dataDxfId="37" dataCellStyle="Normal">
      <calculatedColumnFormula>F2*(1+$J$2)</calculatedColumnFormula>
    </tableColumn>
    <tableColumn id="8" xr3:uid="{EFEA649C-0DE4-E24E-983C-4D72FE562140}" name="Verified" dataDxfId="36" dataCellStyle="Normal"/>
  </tableColumns>
  <tableStyleInfo name="TableStyleDark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B9C640D-BCE1-F54F-B74F-8BD29483186E}" name="Table143911" displayName="Table143911" ref="A12:BJ23" totalsRowCount="1" headerRowDxfId="128" dataDxfId="127">
  <autoFilter ref="A12:BJ22" xr:uid="{9B9C640D-BCE1-F54F-B74F-8BD29483186E}"/>
  <tableColumns count="62">
    <tableColumn id="2" xr3:uid="{5818445D-13BC-2243-9965-579DD63D669D}" name="Type" totalsRowLabel="Total" dataDxfId="126"/>
    <tableColumn id="3" xr3:uid="{05EABD96-6A59-6842-BF02-F583E5CCE6EE}" name="Description" dataDxfId="125"/>
    <tableColumn id="4" xr3:uid="{D2931ABB-76C3-1A4F-94DC-0A3FF1C607D2}" name="Jan-25" totalsRowFunction="custom" dataDxfId="124">
      <totalsRowFormula>(SUMIF(Table143911[Type],"Income",Table143911[Jan-25])-SUMIF(Table143911[Type],"Expense",Table143911[Jan-25]))</totalsRowFormula>
    </tableColumn>
    <tableColumn id="5" xr3:uid="{10E08FD0-C799-974E-BA2A-772F32C28024}" name="Feb-25" totalsRowFunction="custom" dataDxfId="123">
      <calculatedColumnFormula>Table143911[[#Totals],[Jan-25]]</calculatedColumnFormula>
      <totalsRowFormula>SUMIF(Table143911[Type],"Income",Table143911[Feb-25])-SUMIF(Table143911[Type],"Expense",Table143911[Feb-25])</totalsRowFormula>
    </tableColumn>
    <tableColumn id="6" xr3:uid="{145BC6BD-9576-864B-97E5-C4C3ED17D66B}" name="Mar-25" totalsRowFunction="custom" dataDxfId="122">
      <totalsRowFormula>SUMIF(Table143911[Type],"Income",Table143911[Mar-25])-SUMIF(Table143911[Type],"Expense",Table143911[Mar-25])</totalsRowFormula>
    </tableColumn>
    <tableColumn id="7" xr3:uid="{1CC0802A-3223-934E-A9B7-0CF6B4685AD6}" name="Apr-25" totalsRowFunction="custom" dataDxfId="121">
      <totalsRowFormula>SUMIF(Table143911[Type],"Income",Table143911[Apr-25])-SUMIF(Table143911[Type],"Expense",Table143911[Apr-25])</totalsRowFormula>
    </tableColumn>
    <tableColumn id="8" xr3:uid="{7610580A-4AC2-E245-B63B-F0A1FC51203A}" name="May-25" totalsRowFunction="custom" dataDxfId="120">
      <totalsRowFormula>SUMIF(Table143911[Type],"Income",Table143911[May-25])-SUMIF(Table143911[Type],"Expense",Table143911[May-25])</totalsRowFormula>
    </tableColumn>
    <tableColumn id="9" xr3:uid="{8CF5CD9E-DD49-154D-A78E-2D43930ACC5F}" name="Jun-25" totalsRowFunction="custom" dataDxfId="119">
      <totalsRowFormula>SUMIF(Table143911[Type],"Income",Table143911[Jun-25])-SUMIF(Table143911[Type],"Expense",Table143911[Jun-25])</totalsRowFormula>
    </tableColumn>
    <tableColumn id="10" xr3:uid="{9AB0144A-5BF1-9042-B58D-5C2BED943B15}" name="Jul-25" totalsRowFunction="custom" dataDxfId="118">
      <totalsRowFormula>SUMIF(Table143911[Type],"Income",Table143911[Jul-25])-SUMIF(Table143911[Type],"Expense",Table143911[Jul-25])</totalsRowFormula>
    </tableColumn>
    <tableColumn id="11" xr3:uid="{8ECDD637-4399-EA42-A88E-F5582B8CFBFD}" name="Aug-25" totalsRowFunction="custom" dataDxfId="117">
      <totalsRowFormula>SUMIF(Table143911[Type],"Income",Table143911[Aug-25])-SUMIF(Table143911[Type],"Expense",Table143911[Aug-25])</totalsRowFormula>
    </tableColumn>
    <tableColumn id="12" xr3:uid="{1DCADAC8-F4EA-E84D-BB97-BF50462976B7}" name="Sep-25" totalsRowFunction="custom" dataDxfId="116">
      <totalsRowFormula>SUMIF(Table143911[Type],"Income",Table143911[Sep-25])-SUMIF(Table143911[Type],"Expense",Table143911[Sep-25])</totalsRowFormula>
    </tableColumn>
    <tableColumn id="13" xr3:uid="{2CB5813B-5860-E943-BDC5-D99E9E1F9C40}" name="Oct-25" totalsRowFunction="custom" dataDxfId="115">
      <totalsRowFormula>SUMIF(Table143911[Type],"Income",Table143911[Oct-25])-SUMIF(Table143911[Type],"Expense",Table143911[Oct-25])</totalsRowFormula>
    </tableColumn>
    <tableColumn id="14" xr3:uid="{3EA554A4-ABCF-5849-840C-6AFC5AA9432F}" name="Nov-25" totalsRowFunction="custom" dataDxfId="114">
      <totalsRowFormula>SUMIF(Table143911[Type],"Income",Table143911[Nov-25])-SUMIF(Table143911[Type],"Expense",Table143911[Nov-25])</totalsRowFormula>
    </tableColumn>
    <tableColumn id="15" xr3:uid="{2A1B655D-0F24-0B47-AABB-6672D389D43D}" name="Dec-25" totalsRowFunction="custom" dataDxfId="113">
      <totalsRowFormula>SUMIF(Table143911[Type],"Income",Table143911[Dec-25])-SUMIF(Table143911[Type],"Expense",Table143911[Dec-25])</totalsRowFormula>
    </tableColumn>
    <tableColumn id="16" xr3:uid="{88230B43-F9CD-0F4C-8B27-B652FD895F26}" name="Jan-26" totalsRowFunction="custom" dataDxfId="112">
      <totalsRowFormula>SUMIF(Table143911[Type],"Income",Table143911[Jan-26])-SUMIF(Table143911[Type],"Expense",Table143911[Jan-26])</totalsRowFormula>
    </tableColumn>
    <tableColumn id="17" xr3:uid="{FBA460A6-AD9B-5A4E-B494-DCF3A4041365}" name="Feb-26" totalsRowFunction="custom" dataDxfId="111">
      <totalsRowFormula>SUMIF(Table143911[Type],"Income",Table143911[Feb-26])-SUMIF(Table143911[Type],"Expense",Table143911[Feb-26])</totalsRowFormula>
    </tableColumn>
    <tableColumn id="18" xr3:uid="{7DB9B268-4C94-FE4D-801C-AF37E3578FBA}" name="Mar-26" totalsRowFunction="custom" dataDxfId="110">
      <totalsRowFormula>SUMIF(Table143911[Type],"Income",Table143911[Mar-26])-SUMIF(Table143911[Type],"Expense",Table143911[Mar-26])</totalsRowFormula>
    </tableColumn>
    <tableColumn id="19" xr3:uid="{51EC1C32-963E-C343-B253-444F2E1DE965}" name="Apr-26" totalsRowFunction="custom" dataDxfId="109">
      <totalsRowFormula>SUMIF(Table143911[Type],"Income",Table143911[Apr-26])-SUMIF(Table143911[Type],"Expense",Table143911[Apr-26])</totalsRowFormula>
    </tableColumn>
    <tableColumn id="20" xr3:uid="{332A9477-EFD1-334C-9FFD-E51A5202CC44}" name="May-26" totalsRowFunction="custom" dataDxfId="108">
      <totalsRowFormula>SUMIF(Table143911[Type],"Income",Table143911[May-26])-SUMIF(Table143911[Type],"Expense",Table143911[May-26])</totalsRowFormula>
    </tableColumn>
    <tableColumn id="21" xr3:uid="{ED314D1A-67E7-284C-AE40-CD6B31C4BDE5}" name="Jun-26" totalsRowFunction="custom" dataDxfId="107">
      <totalsRowFormula>SUMIF(Table143911[Type],"Income",Table143911[Jun-26])-SUMIF(Table143911[Type],"Expense",Table143911[Jun-26])</totalsRowFormula>
    </tableColumn>
    <tableColumn id="22" xr3:uid="{6BB40556-D2CA-7D40-AD27-FFECDD6D5AFC}" name="Jul-26" totalsRowFunction="custom" dataDxfId="106">
      <totalsRowFormula>SUMIF(Table143911[Type],"Income",Table143911[Jul-26])-SUMIF(Table143911[Type],"Expense",Table143911[Jul-26])</totalsRowFormula>
    </tableColumn>
    <tableColumn id="23" xr3:uid="{C910A6ED-C69D-234D-89A2-36FF2987A367}" name="Aug-26" totalsRowFunction="custom" dataDxfId="105">
      <totalsRowFormula>SUMIF(Table143911[Type],"Income",Table143911[Aug-26])-SUMIF(Table143911[Type],"Expense",Table143911[Aug-26])</totalsRowFormula>
    </tableColumn>
    <tableColumn id="24" xr3:uid="{D1C37448-1007-F94F-A6C8-E39BF9C0274B}" name="Sep-26" totalsRowFunction="custom" dataDxfId="104">
      <totalsRowFormula>SUMIF(Table143911[Type],"Income",Table143911[Sep-26])-SUMIF(Table143911[Type],"Expense",Table143911[Sep-26])</totalsRowFormula>
    </tableColumn>
    <tableColumn id="25" xr3:uid="{2B365412-C24D-944C-A683-B04C953FB6AA}" name="Oct-26" totalsRowFunction="custom" dataDxfId="103">
      <totalsRowFormula>SUMIF(Table143911[Type],"Income",Table143911[Oct-26])-SUMIF(Table143911[Type],"Expense",Table143911[Oct-26])</totalsRowFormula>
    </tableColumn>
    <tableColumn id="26" xr3:uid="{06108367-4FD8-7040-B9EF-A66869B0AD9F}" name="Nov-26" totalsRowFunction="custom" dataDxfId="102">
      <totalsRowFormula>SUMIF(Table143911[Type],"Income",Table143911[Nov-26])-SUMIF(Table143911[Type],"Expense",Table143911[Nov-26])</totalsRowFormula>
    </tableColumn>
    <tableColumn id="27" xr3:uid="{67FA39E5-EE2B-484C-9101-48A4C4FD8A02}" name="Dec-26" totalsRowFunction="custom" dataDxfId="101">
      <totalsRowFormula>SUMIF(Table143911[Type],"Income",Table143911[Dec-26])-SUMIF(Table143911[Type],"Expense",Table143911[Dec-26])</totalsRowFormula>
    </tableColumn>
    <tableColumn id="1" xr3:uid="{2AF7FA6C-5244-9841-BBB4-FBD5D2B7B043}" name="Jan-27" totalsRowFunction="custom" dataDxfId="100">
      <totalsRowFormula>SUMIF(Table143911[Type],"Income",Table143911[Jan-27])-SUMIF(Table143911[Type],"Expense",Table143911[Jan-27])</totalsRowFormula>
    </tableColumn>
    <tableColumn id="28" xr3:uid="{FD9C75BC-581D-B340-B29C-EF25E3E12CC8}" name="Feb-27" totalsRowFunction="custom" dataDxfId="99">
      <totalsRowFormula>SUMIF(Table143911[Type],"Income",Table143911[Feb-27])-SUMIF(Table143911[Type],"Expense",Table143911[Feb-27])</totalsRowFormula>
    </tableColumn>
    <tableColumn id="29" xr3:uid="{3ECE953E-6553-AA4A-873A-69A416BBA854}" name="Mar-27" totalsRowFunction="custom" dataDxfId="98">
      <totalsRowFormula>SUMIF(Table143911[Type],"Income",Table143911[Mar-27])-SUMIF(Table143911[Type],"Expense",Table143911[Mar-27])</totalsRowFormula>
    </tableColumn>
    <tableColumn id="30" xr3:uid="{58F4E788-31BA-E848-AB6A-06E6FD635116}" name="Apr-27" totalsRowFunction="custom" dataDxfId="97">
      <totalsRowFormula>SUMIF(Table143911[Type],"Income",Table143911[Apr-27])-SUMIF(Table143911[Type],"Expense",Table143911[Apr-27])</totalsRowFormula>
    </tableColumn>
    <tableColumn id="31" xr3:uid="{3C9D3C3E-B291-7643-B6F6-30E3E0239E2D}" name="May-27" totalsRowFunction="custom" dataDxfId="96">
      <totalsRowFormula>SUMIF(Table143911[Type],"Income",Table143911[May-27])-SUMIF(Table143911[Type],"Expense",Table143911[May-27])</totalsRowFormula>
    </tableColumn>
    <tableColumn id="32" xr3:uid="{71FF26B1-800D-C64D-870B-5578466782DE}" name="Jun-27" totalsRowFunction="custom" dataDxfId="95">
      <totalsRowFormula>SUMIF(Table143911[Type],"Income",Table143911[Jun-27])-SUMIF(Table143911[Type],"Expense",Table143911[Jun-27])</totalsRowFormula>
    </tableColumn>
    <tableColumn id="33" xr3:uid="{6B2D982F-B17F-6049-BF27-7EE320F0EA31}" name="Jul-27" totalsRowFunction="custom" dataDxfId="94">
      <totalsRowFormula>SUMIF(Table143911[Type],"Income",Table143911[Jul-27])-SUMIF(Table143911[Type],"Expense",Table143911[Jul-27])</totalsRowFormula>
    </tableColumn>
    <tableColumn id="34" xr3:uid="{EA12DFF5-4AAD-3D47-8B13-408F4D071D12}" name="Aug-27" totalsRowFunction="custom" dataDxfId="93">
      <totalsRowFormula>SUMIF(Table143911[Type],"Income",Table143911[Aug-27])-SUMIF(Table143911[Type],"Expense",Table143911[Aug-27])</totalsRowFormula>
    </tableColumn>
    <tableColumn id="35" xr3:uid="{B9F06317-E1CE-EB45-B7D1-1DBA232CF63B}" name="Sep-27" totalsRowFunction="custom" dataDxfId="92">
      <totalsRowFormula>SUMIF(Table143911[Type],"Income",Table143911[Sep-27])-SUMIF(Table143911[Type],"Expense",Table143911[Sep-27])</totalsRowFormula>
    </tableColumn>
    <tableColumn id="36" xr3:uid="{7DFB5E56-7DFD-3B4F-AB71-1AE26687DAEB}" name="Oct-27" totalsRowFunction="custom" dataDxfId="91">
      <totalsRowFormula>SUMIF(Table143911[Type],"Income",Table143911[Oct-27])-SUMIF(Table143911[Type],"Expense",Table143911[Oct-27])</totalsRowFormula>
    </tableColumn>
    <tableColumn id="37" xr3:uid="{4AA2AEF6-C5AF-004D-93DF-77FD147D312D}" name="Nov-27" totalsRowFunction="custom" dataDxfId="90">
      <totalsRowFormula>SUMIF(Table143911[Type],"Income",Table143911[Nov-27])-SUMIF(Table143911[Type],"Expense",Table143911[Nov-27])</totalsRowFormula>
    </tableColumn>
    <tableColumn id="38" xr3:uid="{C9683CB9-B21C-2144-A06B-7AAE40A6F5D0}" name="Dec-27" totalsRowFunction="custom" dataDxfId="89">
      <totalsRowFormula>SUMIF(Table143911[Type],"Income",Table143911[Dec-27])-SUMIF(Table143911[Type],"Expense",Table143911[Dec-27])</totalsRowFormula>
    </tableColumn>
    <tableColumn id="39" xr3:uid="{2B8AACB4-AB3F-F64E-A8B6-DE3FDC6CF9FE}" name="Jan-28" totalsRowFunction="custom" dataDxfId="88">
      <totalsRowFormula>SUMIF(Table143911[Type], "Income",Table143911[Jan-28])-SUMIF(Table143911[Type], "Expense",Table143911[Jan-28])</totalsRowFormula>
    </tableColumn>
    <tableColumn id="40" xr3:uid="{8493AE0E-6D57-0C48-81DB-A98724C709F4}" name="Feb-28" totalsRowFunction="custom" dataDxfId="87">
      <totalsRowFormula>SUMIF(Table143911[Type], "Income",Table143911[Feb-28])-SUMIF(Table143911[Type], "Expense",Table143911[Feb-28])</totalsRowFormula>
    </tableColumn>
    <tableColumn id="41" xr3:uid="{753A0AB6-4015-624B-BC09-F7E5061484D8}" name="Mar-28" totalsRowFunction="custom" dataDxfId="86">
      <totalsRowFormula>SUMIF(Table143911[Type], "Income",Table143911[Mar-28])-SUMIF(Table143911[Type], "Expense",Table143911[Mar-28])</totalsRowFormula>
    </tableColumn>
    <tableColumn id="42" xr3:uid="{599D4B52-F958-384D-95DC-16159EE0B891}" name="Apr-28" totalsRowFunction="custom" dataDxfId="85">
      <totalsRowFormula>SUMIF(Table143911[Type], "Income",Table143911[Apr-28])-SUMIF(Table143911[Type], "Expense",Table143911[Apr-28])</totalsRowFormula>
    </tableColumn>
    <tableColumn id="43" xr3:uid="{B04C75A9-49B4-1C4D-B22E-A8E0B069C59F}" name="May-28" totalsRowFunction="custom" dataDxfId="84">
      <totalsRowFormula>SUMIF(Table143911[Type], "Income",Table143911[May-28])-SUMIF(Table143911[Type], "Expense",Table143911[May-28])</totalsRowFormula>
    </tableColumn>
    <tableColumn id="44" xr3:uid="{98C1E280-3E75-DC4F-8A65-BF1F3DF20737}" name="Jun-28" totalsRowFunction="custom" dataDxfId="83">
      <totalsRowFormula>SUMIF(Table143911[Type], "Income",Table143911[Jun-28])-SUMIF(Table143911[Type], "Expense",Table143911[Jun-28])</totalsRowFormula>
    </tableColumn>
    <tableColumn id="45" xr3:uid="{40C192E8-121E-9E49-BE1F-1F731337F8FC}" name="Jul-28" totalsRowFunction="custom" dataDxfId="82">
      <totalsRowFormula>SUMIF(Table143911[Type], "Income",Table143911[Jul-28])-SUMIF(Table143911[Type], "Expense",Table143911[Jul-28])</totalsRowFormula>
    </tableColumn>
    <tableColumn id="46" xr3:uid="{830011B0-A1FF-9947-988F-C27C843BE858}" name="Aug-28" totalsRowFunction="custom" dataDxfId="81">
      <totalsRowFormula>SUMIF(Table143911[Type], "Income",Table143911[Aug-28])-SUMIF(Table143911[Type], "Expense",Table143911[Aug-28])</totalsRowFormula>
    </tableColumn>
    <tableColumn id="47" xr3:uid="{356CCD51-C5C1-7E4E-A12D-93C103D7D50B}" name="Sep-28" totalsRowFunction="custom" dataDxfId="80">
      <totalsRowFormula>SUMIF(Table143911[Type], "Income",Table143911[Sep-28])-SUMIF(Table143911[Type], "Expense",Table143911[Sep-28])</totalsRowFormula>
    </tableColumn>
    <tableColumn id="48" xr3:uid="{865436E2-9FE1-9E42-A904-97E79D9B72F6}" name="Oct-28" totalsRowFunction="custom" dataDxfId="79">
      <totalsRowFormula>SUMIF(Table143911[Type], "Income",Table143911[Oct-28])-SUMIF(Table143911[Type], "Expense",Table143911[Oct-28])</totalsRowFormula>
    </tableColumn>
    <tableColumn id="49" xr3:uid="{003B1F35-42A4-904F-8B6F-B23362708FA6}" name="Nov-28" totalsRowFunction="custom" dataDxfId="78">
      <totalsRowFormula>SUMIF(Table143911[Type], "Income",Table143911[Nov-28])-SUMIF(Table143911[Type], "Expense",Table143911[Nov-28])</totalsRowFormula>
    </tableColumn>
    <tableColumn id="50" xr3:uid="{238E86F9-3D77-D64B-B405-36DDBEE9190D}" name="Dec-28" totalsRowFunction="custom" dataDxfId="77">
      <totalsRowFormula>SUMIF(Table143911[Type], "Income",Table143911[Dec-28])-SUMIF(Table143911[Type], "Expense",Table143911[Dec-28])</totalsRowFormula>
    </tableColumn>
    <tableColumn id="51" xr3:uid="{1D2A279A-2E7F-5F4F-8C6C-811B74676F11}" name="Jan-29" totalsRowFunction="custom" dataDxfId="76">
      <totalsRowFormula>SUMIF(Table143911[Type], "Income",Table143911[Jan-29])-SUMIF(Table143911[Type], "Expense",Table143911[Jan-29])</totalsRowFormula>
    </tableColumn>
    <tableColumn id="52" xr3:uid="{6BF1219F-8C2A-7C4B-8270-3EA3AC3A1A20}" name="Feb-29" totalsRowFunction="custom" dataDxfId="75">
      <totalsRowFormula>SUMIF(Table143911[Type], "Income",Table143911[Feb-29])-SUMIF(Table143911[Type], "Expense",Table143911[Feb-29])</totalsRowFormula>
    </tableColumn>
    <tableColumn id="53" xr3:uid="{16D8A600-C198-6449-A0CC-87F71C1F3EA8}" name="Mar-29" totalsRowFunction="custom" dataDxfId="74">
      <totalsRowFormula>SUMIF(Table143911[Type], "Income",Table143911[Mar-29])-SUMIF(Table143911[Type], "Expense",Table143911[Mar-29])</totalsRowFormula>
    </tableColumn>
    <tableColumn id="54" xr3:uid="{D1A73128-321D-F54B-AA87-79DA702F576F}" name="Apr-29" totalsRowFunction="custom" dataDxfId="73">
      <totalsRowFormula>SUMIF(Table143911[Type], "Income",Table143911[Apr-29])-SUMIF(Table143911[Type], "Expense",Table143911[Apr-29])</totalsRowFormula>
    </tableColumn>
    <tableColumn id="55" xr3:uid="{985B16AE-A3FC-D74F-B6ED-494E57B8FE8F}" name="May-29" totalsRowFunction="custom" dataDxfId="72">
      <totalsRowFormula>SUMIF(Table143911[Type], "Income",Table143911[May-29])-SUMIF(Table143911[Type], "Expense",Table143911[May-29])</totalsRowFormula>
    </tableColumn>
    <tableColumn id="56" xr3:uid="{B5374BF8-0536-3C4C-A502-2075B7B0876C}" name="Jun-29" totalsRowFunction="custom" dataDxfId="71">
      <totalsRowFormula>SUMIF(Table143911[Type], "Income",Table143911[Jun-29])-SUMIF(Table143911[Type], "Expense",Table143911[Jun-29])</totalsRowFormula>
    </tableColumn>
    <tableColumn id="57" xr3:uid="{CE9BB7A3-3BEF-9B40-8943-910B1C269330}" name="Jul-29" totalsRowFunction="custom" dataDxfId="70">
      <totalsRowFormula>SUMIF(Table143911[Type], "Income",Table143911[Jul-29])-SUMIF(Table143911[Type], "Expense",Table143911[Jul-29])</totalsRowFormula>
    </tableColumn>
    <tableColumn id="58" xr3:uid="{F8C1EEB1-6945-4443-BCC6-2965AEDF29BC}" name="Aug-29" totalsRowFunction="custom" dataDxfId="69">
      <totalsRowFormula>SUMIF(Table143911[Type], "Income",Table143911[Aug-29])-SUMIF(Table143911[Type], "Expense",Table143911[Aug-29])</totalsRowFormula>
    </tableColumn>
    <tableColumn id="59" xr3:uid="{ACE64BAD-0A92-664D-92FD-879F0477CA81}" name="Sep-29" totalsRowFunction="custom" dataDxfId="68">
      <totalsRowFormula>SUMIF(Table143911[Type], "Income",Table143911[Sep-29])-SUMIF(Table143911[Type], "Expense",Table143911[Sep-29])</totalsRowFormula>
    </tableColumn>
    <tableColumn id="60" xr3:uid="{CBF922B8-0F08-3440-89BC-F07583819B63}" name="Oct-29" totalsRowFunction="custom" dataDxfId="67">
      <totalsRowFormula>SUMIF(Table143911[Type], "Income",Table143911[Oct-29])-SUMIF(Table143911[Type], "Expense",Table143911[Oct-29])</totalsRowFormula>
    </tableColumn>
    <tableColumn id="61" xr3:uid="{D1CF5F0C-C87A-B14F-B987-E8B22DD6DB2B}" name="Nov-29" totalsRowFunction="custom" dataDxfId="66">
      <totalsRowFormula>SUMIF(Table143911[Type], "Income",Table143911[Nov-29])-SUMIF(Table143911[Type], "Expense",Table143911[Nov-29])</totalsRowFormula>
    </tableColumn>
    <tableColumn id="62" xr3:uid="{B73ECEBD-D855-264A-B064-16628FE61194}" name="Dec-29" totalsRowFunction="custom" dataDxfId="65">
      <totalsRowFormula>SUMIF(Table143911[Type], "Income",Table143911[Dec-29])-SUMIF(Table143911[Type], "Expense",Table143911[Dec-29])</totalsRow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276028B-7D44-0B44-9E0A-51FA1D188D1F}" name="Table481012" displayName="Table481012" ref="A1:B10" totalsRowShown="0" headerRowDxfId="64" dataDxfId="63">
  <autoFilter ref="A1:B10" xr:uid="{E276028B-7D44-0B44-9E0A-51FA1D188D1F}"/>
  <tableColumns count="2">
    <tableColumn id="1" xr3:uid="{5BFB24DA-5C71-974A-916B-6F3F7FED9413}" name="Item" dataDxfId="62"/>
    <tableColumn id="2" xr3:uid="{610A2E41-B378-4A44-BABA-23D2E727ECE4}" name="Value" dataDxfId="6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97BE-146F-BF41-B2C2-34275CA1ADBB}">
  <sheetPr codeName="Sheet1"/>
  <dimension ref="A1:AD92"/>
  <sheetViews>
    <sheetView showGridLines="0" tabSelected="1" zoomScale="109" workbookViewId="0">
      <selection activeCell="W4" sqref="W4"/>
    </sheetView>
  </sheetViews>
  <sheetFormatPr baseColWidth="10" defaultRowHeight="16" x14ac:dyDescent="0.2"/>
  <cols>
    <col min="1" max="1" width="11" customWidth="1"/>
    <col min="2" max="2" width="25.6640625" bestFit="1" customWidth="1"/>
    <col min="3" max="3" width="20" hidden="1" customWidth="1"/>
    <col min="4" max="5" width="15.1640625" style="1" hidden="1" customWidth="1"/>
    <col min="6" max="11" width="15.1640625" hidden="1" customWidth="1"/>
    <col min="12" max="12" width="19" hidden="1" customWidth="1"/>
    <col min="13" max="19" width="19.33203125" hidden="1" customWidth="1"/>
    <col min="20" max="22" width="19.33203125" customWidth="1"/>
    <col min="28" max="28" width="15.5" bestFit="1" customWidth="1"/>
  </cols>
  <sheetData>
    <row r="1" spans="1:22" ht="17" thickBot="1" x14ac:dyDescent="0.25">
      <c r="A1" s="17" t="s">
        <v>17</v>
      </c>
      <c r="B1" s="17" t="s">
        <v>33</v>
      </c>
      <c r="C1" s="18" t="s">
        <v>22</v>
      </c>
      <c r="D1" s="18" t="s">
        <v>23</v>
      </c>
      <c r="E1" s="18" t="s">
        <v>25</v>
      </c>
      <c r="F1" s="18" t="s">
        <v>24</v>
      </c>
      <c r="G1" s="18" t="s">
        <v>26</v>
      </c>
      <c r="H1" s="18" t="s">
        <v>27</v>
      </c>
      <c r="I1" s="18" t="s">
        <v>28</v>
      </c>
      <c r="J1" s="18" t="s">
        <v>29</v>
      </c>
      <c r="K1" s="6" t="s">
        <v>36</v>
      </c>
      <c r="L1" s="6" t="s">
        <v>37</v>
      </c>
      <c r="M1" s="6" t="s">
        <v>38</v>
      </c>
      <c r="N1" s="6" t="s">
        <v>39</v>
      </c>
      <c r="O1" s="6" t="s">
        <v>41</v>
      </c>
      <c r="P1" s="6" t="s">
        <v>40</v>
      </c>
      <c r="Q1" s="6" t="s">
        <v>42</v>
      </c>
      <c r="R1" s="6" t="s">
        <v>43</v>
      </c>
      <c r="S1" s="6" t="s">
        <v>44</v>
      </c>
      <c r="T1" s="6" t="s">
        <v>45</v>
      </c>
      <c r="U1" s="6" t="s">
        <v>46</v>
      </c>
      <c r="V1" s="6" t="s">
        <v>47</v>
      </c>
    </row>
    <row r="2" spans="1:22" s="2" customFormat="1" ht="22" x14ac:dyDescent="0.3">
      <c r="A2" s="19" t="s">
        <v>34</v>
      </c>
      <c r="B2" s="20" t="s">
        <v>21</v>
      </c>
      <c r="C2" s="21">
        <v>27000</v>
      </c>
      <c r="D2" s="21">
        <v>27000</v>
      </c>
      <c r="E2" s="22">
        <v>21600</v>
      </c>
      <c r="F2" s="21">
        <v>21600</v>
      </c>
      <c r="G2" s="21">
        <v>21600</v>
      </c>
      <c r="H2" s="21">
        <v>21600</v>
      </c>
      <c r="I2" s="21">
        <v>21600</v>
      </c>
      <c r="J2" s="21">
        <v>25100</v>
      </c>
      <c r="K2" s="8">
        <v>25100</v>
      </c>
      <c r="L2" s="7">
        <v>21600</v>
      </c>
      <c r="M2" s="34">
        <v>23100</v>
      </c>
      <c r="N2" s="7">
        <v>24600</v>
      </c>
      <c r="O2" s="7">
        <v>24600</v>
      </c>
      <c r="P2" s="7">
        <v>24600</v>
      </c>
      <c r="Q2" s="7">
        <v>24600</v>
      </c>
      <c r="R2" s="7">
        <v>24600</v>
      </c>
      <c r="S2" s="7">
        <v>24600</v>
      </c>
      <c r="T2" s="7">
        <v>24600</v>
      </c>
      <c r="U2" s="4">
        <v>24600</v>
      </c>
      <c r="V2" s="4">
        <v>24600</v>
      </c>
    </row>
    <row r="3" spans="1:22" s="2" customFormat="1" ht="22" x14ac:dyDescent="0.3">
      <c r="A3" s="15" t="s">
        <v>34</v>
      </c>
      <c r="B3" s="15" t="s">
        <v>49</v>
      </c>
      <c r="C3" s="23">
        <v>1325</v>
      </c>
      <c r="D3" s="23">
        <v>1325</v>
      </c>
      <c r="E3" s="23">
        <v>1325</v>
      </c>
      <c r="F3" s="23">
        <v>1325</v>
      </c>
      <c r="G3" s="23">
        <v>1325</v>
      </c>
      <c r="H3" s="23">
        <v>1000</v>
      </c>
      <c r="I3" s="23">
        <v>1000</v>
      </c>
      <c r="J3" s="23">
        <v>1169</v>
      </c>
      <c r="K3" s="8">
        <v>1169</v>
      </c>
      <c r="L3" s="7">
        <v>1169</v>
      </c>
      <c r="M3" s="34">
        <v>1169</v>
      </c>
      <c r="N3" s="7">
        <v>1669</v>
      </c>
      <c r="O3" s="7">
        <v>1169</v>
      </c>
      <c r="P3" s="7">
        <v>1349</v>
      </c>
      <c r="Q3" s="7">
        <v>1349</v>
      </c>
      <c r="R3" s="7">
        <v>1169</v>
      </c>
      <c r="S3" s="7">
        <v>3089</v>
      </c>
      <c r="T3" s="8">
        <v>1169</v>
      </c>
      <c r="U3" s="8">
        <v>1169</v>
      </c>
      <c r="V3" s="8">
        <v>1169</v>
      </c>
    </row>
    <row r="4" spans="1:22" s="2" customFormat="1" ht="22" x14ac:dyDescent="0.3">
      <c r="A4" s="15" t="s">
        <v>34</v>
      </c>
      <c r="B4" s="15" t="s">
        <v>18</v>
      </c>
      <c r="C4" s="23"/>
      <c r="D4" s="23"/>
      <c r="E4" s="23"/>
      <c r="F4" s="23"/>
      <c r="G4" s="23"/>
      <c r="H4" s="23"/>
      <c r="I4" s="23"/>
      <c r="J4" s="23"/>
      <c r="K4" s="8"/>
      <c r="L4" s="8"/>
      <c r="M4" s="8"/>
      <c r="N4" s="8"/>
      <c r="O4" s="8"/>
      <c r="P4" s="8"/>
      <c r="Q4" s="8"/>
      <c r="R4" s="8"/>
      <c r="S4" s="7">
        <v>3825</v>
      </c>
      <c r="T4" s="8"/>
      <c r="U4" s="8"/>
      <c r="V4" s="8"/>
    </row>
    <row r="5" spans="1:22" s="2" customFormat="1" ht="22" x14ac:dyDescent="0.3">
      <c r="A5" s="15" t="s">
        <v>34</v>
      </c>
      <c r="B5" s="15" t="s">
        <v>20</v>
      </c>
      <c r="C5" s="23"/>
      <c r="D5" s="23"/>
      <c r="E5" s="23"/>
      <c r="F5" s="23">
        <v>750</v>
      </c>
      <c r="G5" s="23">
        <v>1250</v>
      </c>
      <c r="H5" s="23"/>
      <c r="I5" s="23">
        <v>250</v>
      </c>
      <c r="J5" s="23"/>
      <c r="K5" s="8"/>
      <c r="L5" s="8"/>
      <c r="M5" s="8"/>
      <c r="N5" s="8"/>
      <c r="O5" s="8"/>
      <c r="P5" s="8"/>
      <c r="Q5" s="8"/>
      <c r="R5" s="8"/>
      <c r="S5" s="8"/>
      <c r="T5" s="8">
        <v>4010</v>
      </c>
      <c r="U5" s="8">
        <v>4010</v>
      </c>
      <c r="V5" s="8">
        <v>4010</v>
      </c>
    </row>
    <row r="6" spans="1:22" s="2" customFormat="1" ht="22" x14ac:dyDescent="0.3">
      <c r="A6" s="15" t="s">
        <v>34</v>
      </c>
      <c r="B6" s="15" t="s">
        <v>14</v>
      </c>
      <c r="C6" s="23"/>
      <c r="D6" s="23"/>
      <c r="E6" s="23"/>
      <c r="F6" s="23"/>
      <c r="G6" s="23"/>
      <c r="H6" s="23"/>
      <c r="I6" s="23"/>
      <c r="J6" s="23"/>
      <c r="K6" s="8"/>
      <c r="L6" s="8"/>
      <c r="M6" s="8"/>
      <c r="N6" s="8"/>
      <c r="O6" s="8"/>
      <c r="P6" s="8"/>
      <c r="Q6" s="7">
        <v>300</v>
      </c>
      <c r="R6" s="8"/>
      <c r="S6" s="8"/>
      <c r="T6" s="8"/>
      <c r="U6" s="8"/>
      <c r="V6" s="8"/>
    </row>
    <row r="7" spans="1:22" s="2" customFormat="1" ht="22" x14ac:dyDescent="0.3">
      <c r="A7" s="15" t="s">
        <v>34</v>
      </c>
      <c r="B7" s="15" t="s">
        <v>19</v>
      </c>
      <c r="C7" s="23"/>
      <c r="D7" s="23"/>
      <c r="E7" s="23"/>
      <c r="F7" s="23"/>
      <c r="G7" s="23"/>
      <c r="H7" s="23">
        <v>0</v>
      </c>
      <c r="I7" s="23">
        <v>3500</v>
      </c>
      <c r="J7" s="23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s="2" customFormat="1" ht="22" x14ac:dyDescent="0.3">
      <c r="A8" s="15" t="s">
        <v>34</v>
      </c>
      <c r="B8" s="15" t="s">
        <v>56</v>
      </c>
      <c r="C8" s="23"/>
      <c r="D8" s="23"/>
      <c r="E8" s="23"/>
      <c r="F8" s="23"/>
      <c r="G8" s="23"/>
      <c r="H8" s="23"/>
      <c r="I8" s="23"/>
      <c r="J8" s="23"/>
      <c r="K8" s="8"/>
      <c r="L8" s="8"/>
      <c r="M8" s="34">
        <v>259</v>
      </c>
      <c r="N8" s="7">
        <v>137</v>
      </c>
      <c r="O8" s="8">
        <v>0</v>
      </c>
      <c r="P8" s="7">
        <v>1024</v>
      </c>
      <c r="Q8" s="7">
        <v>900</v>
      </c>
      <c r="R8" s="7">
        <f>jtrn[[#Totals],[2025-07-01]]</f>
        <v>1367</v>
      </c>
      <c r="S8" s="7">
        <v>34</v>
      </c>
      <c r="T8" s="7">
        <v>125.21</v>
      </c>
      <c r="U8" s="8">
        <f>jtrn[[#Totals],[2025-10-01]]</f>
        <v>-2374.7900000000009</v>
      </c>
      <c r="V8" s="8">
        <f>jtrn[[#Totals],[2025-11-01]]</f>
        <v>-2009.7900000000009</v>
      </c>
    </row>
    <row r="9" spans="1:22" s="2" customFormat="1" ht="22" x14ac:dyDescent="0.3">
      <c r="A9" s="15" t="s">
        <v>34</v>
      </c>
      <c r="B9" s="15" t="s">
        <v>54</v>
      </c>
      <c r="C9" s="23"/>
      <c r="D9" s="23"/>
      <c r="E9" s="23"/>
      <c r="F9" s="23"/>
      <c r="G9" s="23">
        <v>5700</v>
      </c>
      <c r="H9" s="23"/>
      <c r="I9" s="23"/>
      <c r="J9" s="23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1:22" s="2" customFormat="1" ht="22" x14ac:dyDescent="0.3">
      <c r="A10" s="15" t="s">
        <v>34</v>
      </c>
      <c r="B10" s="15" t="s">
        <v>13</v>
      </c>
      <c r="C10" s="23">
        <v>7700</v>
      </c>
      <c r="D10" s="23">
        <v>7700</v>
      </c>
      <c r="E10" s="24">
        <v>7000</v>
      </c>
      <c r="F10" s="23">
        <v>6800</v>
      </c>
      <c r="G10" s="23">
        <v>7000</v>
      </c>
      <c r="H10" s="23">
        <v>7300</v>
      </c>
      <c r="I10" s="23">
        <v>7750</v>
      </c>
      <c r="J10" s="23">
        <v>8000</v>
      </c>
      <c r="K10" s="8">
        <v>8000</v>
      </c>
      <c r="L10" s="7">
        <v>7700</v>
      </c>
      <c r="M10" s="34">
        <v>8000</v>
      </c>
      <c r="N10" s="7">
        <v>8000</v>
      </c>
      <c r="O10" s="7">
        <v>8000</v>
      </c>
      <c r="P10" s="7">
        <v>8000</v>
      </c>
      <c r="Q10" s="7">
        <v>8000</v>
      </c>
      <c r="R10" s="7">
        <v>8000</v>
      </c>
      <c r="S10" s="7">
        <v>7300</v>
      </c>
      <c r="T10" s="7">
        <v>7500</v>
      </c>
      <c r="U10" s="8">
        <v>7300</v>
      </c>
      <c r="V10" s="8">
        <v>7300</v>
      </c>
    </row>
    <row r="11" spans="1:22" s="3" customFormat="1" ht="22" x14ac:dyDescent="0.3">
      <c r="A11" s="13" t="s">
        <v>35</v>
      </c>
      <c r="B11" s="13" t="s">
        <v>9</v>
      </c>
      <c r="C11" s="25">
        <v>500</v>
      </c>
      <c r="D11" s="25">
        <v>1500</v>
      </c>
      <c r="E11" s="26">
        <v>250</v>
      </c>
      <c r="F11" s="25">
        <v>500</v>
      </c>
      <c r="G11" s="25">
        <v>500</v>
      </c>
      <c r="H11" s="25">
        <v>1000</v>
      </c>
      <c r="I11" s="25">
        <v>750</v>
      </c>
      <c r="J11" s="25">
        <v>1000</v>
      </c>
      <c r="K11" s="12">
        <v>1000</v>
      </c>
      <c r="L11" s="32">
        <v>1000</v>
      </c>
      <c r="M11" s="35">
        <v>2000</v>
      </c>
      <c r="N11" s="32">
        <v>1700</v>
      </c>
      <c r="O11" s="32">
        <v>1000</v>
      </c>
      <c r="P11" s="32">
        <v>2000</v>
      </c>
      <c r="Q11" s="32">
        <v>1500</v>
      </c>
      <c r="R11" s="12">
        <v>2000</v>
      </c>
      <c r="S11" s="32">
        <v>2500</v>
      </c>
      <c r="T11" s="12">
        <v>1500</v>
      </c>
      <c r="U11" s="12">
        <v>2500</v>
      </c>
      <c r="V11" s="12">
        <v>2500</v>
      </c>
    </row>
    <row r="12" spans="1:22" s="3" customFormat="1" ht="22" x14ac:dyDescent="0.3">
      <c r="A12" s="13" t="s">
        <v>35</v>
      </c>
      <c r="B12" s="13" t="s">
        <v>1</v>
      </c>
      <c r="C12" s="25">
        <v>8140</v>
      </c>
      <c r="D12" s="25">
        <v>8140</v>
      </c>
      <c r="E12" s="25">
        <v>8140</v>
      </c>
      <c r="F12" s="25">
        <v>8140</v>
      </c>
      <c r="G12" s="25">
        <v>8140</v>
      </c>
      <c r="H12" s="25">
        <v>8140</v>
      </c>
      <c r="I12" s="25">
        <v>8140</v>
      </c>
      <c r="J12" s="25">
        <v>8140</v>
      </c>
      <c r="K12" s="12">
        <v>8140</v>
      </c>
      <c r="L12" s="32">
        <v>7910</v>
      </c>
      <c r="M12" s="35">
        <v>7795</v>
      </c>
      <c r="N12" s="32">
        <v>7795</v>
      </c>
      <c r="O12" s="32">
        <v>7795</v>
      </c>
      <c r="P12" s="32">
        <v>7795</v>
      </c>
      <c r="Q12" s="32">
        <v>7795</v>
      </c>
      <c r="R12" s="32">
        <v>7795</v>
      </c>
      <c r="S12" s="12">
        <v>7795</v>
      </c>
      <c r="T12" s="12">
        <v>7795</v>
      </c>
      <c r="U12" s="12">
        <v>7795</v>
      </c>
      <c r="V12" s="12">
        <v>7795</v>
      </c>
    </row>
    <row r="13" spans="1:22" s="3" customFormat="1" ht="22" x14ac:dyDescent="0.3">
      <c r="A13" s="13" t="s">
        <v>35</v>
      </c>
      <c r="B13" s="13" t="s">
        <v>2</v>
      </c>
      <c r="C13" s="25">
        <v>3500</v>
      </c>
      <c r="D13" s="25">
        <v>3578</v>
      </c>
      <c r="E13" s="26">
        <v>3578</v>
      </c>
      <c r="F13" s="25">
        <v>3578</v>
      </c>
      <c r="G13" s="25">
        <v>3578</v>
      </c>
      <c r="H13" s="25">
        <v>3578</v>
      </c>
      <c r="I13" s="25">
        <v>3578</v>
      </c>
      <c r="J13" s="25">
        <v>3578</v>
      </c>
      <c r="K13" s="12">
        <v>3578</v>
      </c>
      <c r="L13" s="32">
        <v>3577</v>
      </c>
      <c r="M13" s="35">
        <v>3577</v>
      </c>
      <c r="N13" s="32">
        <v>3577</v>
      </c>
      <c r="O13" s="32">
        <v>3577</v>
      </c>
      <c r="P13" s="32">
        <v>3577</v>
      </c>
      <c r="Q13" s="32">
        <v>3577</v>
      </c>
      <c r="R13" s="32">
        <v>3577</v>
      </c>
      <c r="S13" s="32">
        <v>3577</v>
      </c>
      <c r="T13" s="32">
        <v>3577</v>
      </c>
      <c r="U13" s="12">
        <v>3577</v>
      </c>
      <c r="V13" s="12">
        <v>3577</v>
      </c>
    </row>
    <row r="14" spans="1:22" s="11" customFormat="1" ht="22" x14ac:dyDescent="0.3">
      <c r="A14" s="13" t="s">
        <v>35</v>
      </c>
      <c r="B14" s="9" t="s">
        <v>4</v>
      </c>
      <c r="C14" s="16">
        <v>4530</v>
      </c>
      <c r="D14" s="16">
        <v>4530</v>
      </c>
      <c r="E14" s="16">
        <v>4530</v>
      </c>
      <c r="F14" s="16">
        <v>4530</v>
      </c>
      <c r="G14" s="16">
        <v>5600</v>
      </c>
      <c r="H14" s="16">
        <v>5600</v>
      </c>
      <c r="I14" s="16">
        <v>5600</v>
      </c>
      <c r="J14" s="16">
        <v>5600</v>
      </c>
      <c r="K14" s="10">
        <v>5600</v>
      </c>
      <c r="L14" s="10">
        <v>6305</v>
      </c>
      <c r="M14" s="36">
        <v>6305</v>
      </c>
      <c r="N14" s="33">
        <v>6305</v>
      </c>
      <c r="O14" s="33">
        <v>6305</v>
      </c>
      <c r="P14" s="40">
        <v>6305</v>
      </c>
      <c r="Q14" s="33">
        <v>6305</v>
      </c>
      <c r="R14" s="46" t="s">
        <v>86</v>
      </c>
      <c r="S14" s="10">
        <v>6305</v>
      </c>
      <c r="T14" s="102">
        <v>12610</v>
      </c>
      <c r="U14" s="10">
        <v>6305</v>
      </c>
      <c r="V14" s="10">
        <v>6305</v>
      </c>
    </row>
    <row r="15" spans="1:22" s="11" customFormat="1" ht="22" x14ac:dyDescent="0.3">
      <c r="A15" s="13" t="s">
        <v>35</v>
      </c>
      <c r="B15" s="13" t="s">
        <v>16</v>
      </c>
      <c r="C15" s="25">
        <v>110</v>
      </c>
      <c r="D15" s="25">
        <v>170</v>
      </c>
      <c r="E15" s="25">
        <v>170</v>
      </c>
      <c r="F15" s="25">
        <v>170</v>
      </c>
      <c r="G15" s="25">
        <v>170</v>
      </c>
      <c r="H15" s="25">
        <v>170</v>
      </c>
      <c r="I15" s="25">
        <v>170</v>
      </c>
      <c r="J15" s="25">
        <v>170</v>
      </c>
      <c r="K15" s="12">
        <v>170</v>
      </c>
      <c r="L15" s="32">
        <v>170</v>
      </c>
      <c r="M15" s="35">
        <v>170</v>
      </c>
      <c r="N15" s="32">
        <v>170</v>
      </c>
      <c r="O15" s="32">
        <v>170</v>
      </c>
      <c r="P15" s="32">
        <v>170</v>
      </c>
      <c r="Q15" s="32">
        <v>170</v>
      </c>
      <c r="R15" s="32">
        <v>170</v>
      </c>
      <c r="S15" s="12">
        <v>170</v>
      </c>
      <c r="T15" s="12">
        <v>170</v>
      </c>
      <c r="U15" s="12">
        <v>170</v>
      </c>
      <c r="V15" s="12">
        <v>170</v>
      </c>
    </row>
    <row r="16" spans="1:22" s="11" customFormat="1" ht="22" x14ac:dyDescent="0.3">
      <c r="A16" s="13" t="s">
        <v>35</v>
      </c>
      <c r="B16" s="9" t="s">
        <v>5</v>
      </c>
      <c r="C16" s="16">
        <v>117</v>
      </c>
      <c r="D16" s="16">
        <v>117</v>
      </c>
      <c r="E16" s="16">
        <v>117</v>
      </c>
      <c r="F16" s="16">
        <v>117</v>
      </c>
      <c r="G16" s="16">
        <v>117</v>
      </c>
      <c r="H16" s="16">
        <v>117</v>
      </c>
      <c r="I16" s="16">
        <v>117</v>
      </c>
      <c r="J16" s="16">
        <v>117</v>
      </c>
      <c r="K16" s="10">
        <v>117</v>
      </c>
      <c r="L16" s="33">
        <v>117</v>
      </c>
      <c r="M16" s="36">
        <v>117</v>
      </c>
      <c r="N16" s="33">
        <v>117</v>
      </c>
      <c r="O16" s="33">
        <v>117</v>
      </c>
      <c r="P16" s="33">
        <v>117</v>
      </c>
      <c r="Q16" s="33">
        <v>117</v>
      </c>
      <c r="R16" s="33">
        <v>117</v>
      </c>
      <c r="S16" s="33">
        <v>117</v>
      </c>
      <c r="T16" s="10">
        <v>117</v>
      </c>
      <c r="U16" s="10">
        <v>117</v>
      </c>
      <c r="V16" s="10">
        <v>117</v>
      </c>
    </row>
    <row r="17" spans="1:22" s="11" customFormat="1" ht="22" x14ac:dyDescent="0.3">
      <c r="A17" s="13" t="s">
        <v>35</v>
      </c>
      <c r="B17" s="13" t="s">
        <v>6</v>
      </c>
      <c r="C17" s="25">
        <v>1050</v>
      </c>
      <c r="D17" s="25">
        <v>988</v>
      </c>
      <c r="E17" s="26">
        <v>988</v>
      </c>
      <c r="F17" s="25">
        <v>988</v>
      </c>
      <c r="G17" s="25">
        <v>988</v>
      </c>
      <c r="H17" s="25">
        <v>988</v>
      </c>
      <c r="I17" s="25">
        <v>988</v>
      </c>
      <c r="J17" s="25">
        <v>988</v>
      </c>
      <c r="K17" s="12">
        <v>988</v>
      </c>
      <c r="L17" s="32">
        <v>988</v>
      </c>
      <c r="M17" s="35">
        <v>690</v>
      </c>
      <c r="N17" s="38">
        <v>690</v>
      </c>
      <c r="O17" s="32">
        <v>855</v>
      </c>
      <c r="P17" s="41">
        <v>690</v>
      </c>
      <c r="Q17" s="32">
        <v>690</v>
      </c>
      <c r="R17" s="32">
        <v>856</v>
      </c>
      <c r="S17" s="12">
        <v>690</v>
      </c>
      <c r="T17" s="12">
        <v>690</v>
      </c>
      <c r="U17" s="12">
        <v>690</v>
      </c>
      <c r="V17" s="12">
        <v>690</v>
      </c>
    </row>
    <row r="18" spans="1:22" s="11" customFormat="1" ht="22" x14ac:dyDescent="0.3">
      <c r="A18" s="13" t="s">
        <v>35</v>
      </c>
      <c r="B18" s="9" t="s">
        <v>7</v>
      </c>
      <c r="C18" s="16">
        <v>1200</v>
      </c>
      <c r="D18" s="16">
        <v>560</v>
      </c>
      <c r="E18" s="16">
        <v>560</v>
      </c>
      <c r="F18" s="16">
        <v>560</v>
      </c>
      <c r="G18" s="16">
        <v>560</v>
      </c>
      <c r="H18" s="16">
        <v>560</v>
      </c>
      <c r="I18" s="16">
        <v>610</v>
      </c>
      <c r="J18" s="16">
        <v>610</v>
      </c>
      <c r="K18" s="10">
        <v>610</v>
      </c>
      <c r="L18" s="33">
        <v>610</v>
      </c>
      <c r="M18" s="36">
        <v>610</v>
      </c>
      <c r="N18" s="39">
        <v>610</v>
      </c>
      <c r="O18" s="33">
        <v>610</v>
      </c>
      <c r="P18" s="33">
        <v>610</v>
      </c>
      <c r="Q18" s="33">
        <v>610</v>
      </c>
      <c r="R18" s="33">
        <v>610</v>
      </c>
      <c r="S18" s="10">
        <v>610</v>
      </c>
      <c r="T18" s="10">
        <v>610</v>
      </c>
      <c r="U18" s="10">
        <v>610</v>
      </c>
      <c r="V18" s="10">
        <v>610</v>
      </c>
    </row>
    <row r="19" spans="1:22" s="11" customFormat="1" ht="22" x14ac:dyDescent="0.3">
      <c r="A19" s="13" t="s">
        <v>35</v>
      </c>
      <c r="B19" s="13" t="s">
        <v>8</v>
      </c>
      <c r="C19" s="25">
        <v>440</v>
      </c>
      <c r="D19" s="25">
        <v>440</v>
      </c>
      <c r="E19" s="25">
        <v>440</v>
      </c>
      <c r="F19" s="25">
        <v>440</v>
      </c>
      <c r="G19" s="25">
        <v>440</v>
      </c>
      <c r="H19" s="25">
        <v>440</v>
      </c>
      <c r="I19" s="25">
        <v>440</v>
      </c>
      <c r="J19" s="25">
        <v>440</v>
      </c>
      <c r="K19" s="12">
        <v>440</v>
      </c>
      <c r="L19" s="32">
        <v>450</v>
      </c>
      <c r="M19" s="35">
        <v>450</v>
      </c>
      <c r="N19" s="32">
        <v>450</v>
      </c>
      <c r="O19" s="32">
        <v>450</v>
      </c>
      <c r="P19" s="32">
        <v>450</v>
      </c>
      <c r="Q19" s="32">
        <v>450</v>
      </c>
      <c r="R19" s="32">
        <v>450</v>
      </c>
      <c r="S19" s="12">
        <v>450</v>
      </c>
      <c r="T19" s="12">
        <v>450</v>
      </c>
      <c r="U19" s="12">
        <v>450</v>
      </c>
      <c r="V19" s="12">
        <v>450</v>
      </c>
    </row>
    <row r="20" spans="1:22" s="11" customFormat="1" ht="22" x14ac:dyDescent="0.3">
      <c r="A20" s="13" t="s">
        <v>35</v>
      </c>
      <c r="B20" s="9" t="s">
        <v>10</v>
      </c>
      <c r="C20" s="16">
        <v>3500</v>
      </c>
      <c r="D20" s="16">
        <v>3500</v>
      </c>
      <c r="E20" s="27">
        <v>3500</v>
      </c>
      <c r="F20" s="16">
        <v>3500</v>
      </c>
      <c r="G20" s="16">
        <v>3500</v>
      </c>
      <c r="H20" s="16">
        <v>4000</v>
      </c>
      <c r="I20" s="16">
        <v>4000</v>
      </c>
      <c r="J20" s="16">
        <v>3700</v>
      </c>
      <c r="K20" s="10">
        <v>3700</v>
      </c>
      <c r="L20" s="33">
        <v>3000</v>
      </c>
      <c r="M20" s="10">
        <v>3200</v>
      </c>
      <c r="N20" s="33">
        <v>4726</v>
      </c>
      <c r="O20" s="33">
        <v>3260</v>
      </c>
      <c r="P20" s="33">
        <v>4100</v>
      </c>
      <c r="Q20" s="40">
        <v>0</v>
      </c>
      <c r="R20" s="10">
        <v>3200</v>
      </c>
      <c r="S20" s="33">
        <v>3500</v>
      </c>
      <c r="T20" s="10">
        <v>3500</v>
      </c>
      <c r="U20" s="10">
        <v>3200</v>
      </c>
      <c r="V20" s="10">
        <v>3200</v>
      </c>
    </row>
    <row r="21" spans="1:22" s="11" customFormat="1" ht="22" x14ac:dyDescent="0.3">
      <c r="A21" s="13" t="s">
        <v>35</v>
      </c>
      <c r="B21" s="13" t="s">
        <v>31</v>
      </c>
      <c r="C21" s="25">
        <v>1000</v>
      </c>
      <c r="D21" s="25">
        <v>1000</v>
      </c>
      <c r="E21" s="26">
        <v>1000</v>
      </c>
      <c r="F21" s="25">
        <v>1000</v>
      </c>
      <c r="G21" s="25">
        <v>1000</v>
      </c>
      <c r="H21" s="25">
        <v>1000</v>
      </c>
      <c r="I21" s="25">
        <v>1000</v>
      </c>
      <c r="J21" s="25">
        <v>1000</v>
      </c>
      <c r="K21" s="12">
        <v>1000</v>
      </c>
      <c r="L21" s="32">
        <v>1000</v>
      </c>
      <c r="M21" s="35">
        <v>1000</v>
      </c>
      <c r="N21" s="32">
        <v>1000</v>
      </c>
      <c r="O21" s="32">
        <v>1000</v>
      </c>
      <c r="P21" s="32">
        <v>1000</v>
      </c>
      <c r="Q21" s="32">
        <v>1000</v>
      </c>
      <c r="R21" s="32">
        <v>1000</v>
      </c>
      <c r="S21" s="32">
        <v>1000</v>
      </c>
      <c r="T21" s="32">
        <v>1000</v>
      </c>
      <c r="U21" s="12">
        <v>1000</v>
      </c>
      <c r="V21" s="12">
        <v>1000</v>
      </c>
    </row>
    <row r="22" spans="1:22" s="11" customFormat="1" ht="22" x14ac:dyDescent="0.3">
      <c r="A22" s="13" t="s">
        <v>35</v>
      </c>
      <c r="B22" s="9" t="s">
        <v>11</v>
      </c>
      <c r="C22" s="16">
        <v>1000</v>
      </c>
      <c r="D22" s="16">
        <v>1500</v>
      </c>
      <c r="E22" s="27">
        <v>250</v>
      </c>
      <c r="F22" s="16">
        <v>500</v>
      </c>
      <c r="G22" s="16">
        <v>900</v>
      </c>
      <c r="H22" s="16">
        <v>200</v>
      </c>
      <c r="I22" s="16">
        <v>150</v>
      </c>
      <c r="J22" s="16">
        <v>900</v>
      </c>
      <c r="K22" s="10">
        <v>900</v>
      </c>
      <c r="L22" s="36">
        <v>500</v>
      </c>
      <c r="M22" s="36">
        <v>500</v>
      </c>
      <c r="N22" s="33">
        <v>400</v>
      </c>
      <c r="O22" s="33">
        <v>400</v>
      </c>
      <c r="P22" s="33">
        <v>1000</v>
      </c>
      <c r="Q22" s="33">
        <v>550</v>
      </c>
      <c r="R22" s="33">
        <v>400</v>
      </c>
      <c r="S22" s="33">
        <v>400</v>
      </c>
      <c r="T22" s="33">
        <v>250</v>
      </c>
      <c r="U22" s="10">
        <v>400</v>
      </c>
      <c r="V22" s="10">
        <v>400</v>
      </c>
    </row>
    <row r="23" spans="1:22" s="11" customFormat="1" ht="22" x14ac:dyDescent="0.3">
      <c r="A23" s="13" t="s">
        <v>35</v>
      </c>
      <c r="B23" s="13" t="s">
        <v>50</v>
      </c>
      <c r="C23" s="25">
        <v>5000</v>
      </c>
      <c r="D23" s="25">
        <v>4300</v>
      </c>
      <c r="E23" s="25">
        <v>3000</v>
      </c>
      <c r="F23" s="25">
        <v>3500</v>
      </c>
      <c r="G23" s="25">
        <v>3200</v>
      </c>
      <c r="H23" s="25">
        <v>3000</v>
      </c>
      <c r="I23" s="25">
        <v>3500</v>
      </c>
      <c r="J23" s="25">
        <v>4000</v>
      </c>
      <c r="K23" s="12">
        <v>4000</v>
      </c>
      <c r="L23" s="37">
        <v>2600</v>
      </c>
      <c r="M23" s="37">
        <v>3700</v>
      </c>
      <c r="N23" s="12">
        <v>3400</v>
      </c>
      <c r="O23" s="32">
        <v>3500</v>
      </c>
      <c r="P23" s="12">
        <v>3700</v>
      </c>
      <c r="Q23" s="41">
        <v>5928</v>
      </c>
      <c r="R23" s="12">
        <v>3700</v>
      </c>
      <c r="S23" s="12">
        <v>3700</v>
      </c>
      <c r="T23" s="12">
        <v>2000</v>
      </c>
      <c r="U23" s="12">
        <v>3700</v>
      </c>
      <c r="V23" s="12">
        <v>3700</v>
      </c>
    </row>
    <row r="24" spans="1:22" s="11" customFormat="1" ht="22" x14ac:dyDescent="0.3">
      <c r="A24" s="13" t="s">
        <v>35</v>
      </c>
      <c r="B24" s="13" t="s">
        <v>32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12">
        <v>0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 spans="1:22" s="3" customFormat="1" ht="22" x14ac:dyDescent="0.3">
      <c r="A25" s="13" t="s">
        <v>35</v>
      </c>
      <c r="B25" s="13" t="s">
        <v>20</v>
      </c>
      <c r="C25" s="25">
        <v>500</v>
      </c>
      <c r="D25" s="25">
        <v>200</v>
      </c>
      <c r="E25" s="25"/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12">
        <v>0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spans="1:22" s="3" customFormat="1" ht="22" x14ac:dyDescent="0.3">
      <c r="A26" s="13" t="s">
        <v>35</v>
      </c>
      <c r="B26" s="13" t="s">
        <v>87</v>
      </c>
      <c r="C26" s="25"/>
      <c r="D26" s="25"/>
      <c r="E26" s="25"/>
      <c r="F26" s="25"/>
      <c r="G26" s="25"/>
      <c r="H26" s="25"/>
      <c r="I26" s="25"/>
      <c r="J26" s="25"/>
      <c r="K26" s="12"/>
      <c r="L26" s="12"/>
      <c r="M26" s="12"/>
      <c r="N26" s="12"/>
      <c r="O26" s="12"/>
      <c r="P26" s="12"/>
      <c r="Q26" s="12"/>
      <c r="R26" s="12"/>
      <c r="S26" s="12">
        <v>3825</v>
      </c>
      <c r="T26" s="12">
        <v>4010</v>
      </c>
      <c r="U26" s="12"/>
      <c r="V26" s="12"/>
    </row>
    <row r="27" spans="1:22" s="3" customFormat="1" ht="22" x14ac:dyDescent="0.3">
      <c r="A27" s="13" t="s">
        <v>35</v>
      </c>
      <c r="B27" s="9" t="s">
        <v>18</v>
      </c>
      <c r="C27" s="16">
        <v>1000</v>
      </c>
      <c r="D27" s="16">
        <v>1000</v>
      </c>
      <c r="E27" s="16">
        <v>0</v>
      </c>
      <c r="F27" s="16"/>
      <c r="G27" s="16">
        <v>500</v>
      </c>
      <c r="H27" s="16">
        <v>1000</v>
      </c>
      <c r="I27" s="16">
        <v>500</v>
      </c>
      <c r="J27" s="16">
        <v>500</v>
      </c>
      <c r="K27" s="10">
        <v>500</v>
      </c>
      <c r="L27" s="10"/>
      <c r="M27" s="10"/>
      <c r="N27" s="33">
        <v>1500</v>
      </c>
      <c r="O27" s="33">
        <v>1500</v>
      </c>
      <c r="P27" s="10"/>
      <c r="Q27" s="33">
        <v>500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</row>
    <row r="28" spans="1:22" s="3" customFormat="1" ht="22" x14ac:dyDescent="0.3">
      <c r="A28" s="13" t="s">
        <v>35</v>
      </c>
      <c r="B28" s="9" t="s">
        <v>30</v>
      </c>
      <c r="C28" s="16">
        <v>200</v>
      </c>
      <c r="D28" s="16">
        <v>200</v>
      </c>
      <c r="E28" s="27">
        <v>200</v>
      </c>
      <c r="F28" s="16">
        <v>200</v>
      </c>
      <c r="G28" s="16">
        <v>200</v>
      </c>
      <c r="H28" s="16">
        <v>0</v>
      </c>
      <c r="I28" s="16">
        <v>200</v>
      </c>
      <c r="J28" s="16">
        <v>200</v>
      </c>
      <c r="K28" s="10">
        <v>200</v>
      </c>
      <c r="L28" s="33">
        <v>900</v>
      </c>
      <c r="M28" s="36">
        <v>400</v>
      </c>
      <c r="N28" s="33">
        <v>400</v>
      </c>
      <c r="O28" s="33">
        <v>400</v>
      </c>
      <c r="P28" s="33">
        <v>400</v>
      </c>
      <c r="Q28" s="33">
        <v>400</v>
      </c>
      <c r="R28" s="10">
        <v>400</v>
      </c>
      <c r="S28" s="33">
        <v>400</v>
      </c>
      <c r="T28" s="33"/>
      <c r="U28" s="10">
        <v>400</v>
      </c>
      <c r="V28" s="10">
        <v>400</v>
      </c>
    </row>
    <row r="29" spans="1:22" s="3" customFormat="1" ht="22" x14ac:dyDescent="0.3">
      <c r="A29" s="13" t="s">
        <v>35</v>
      </c>
      <c r="B29" s="9" t="s">
        <v>15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0">
        <v>0</v>
      </c>
      <c r="L29" s="10"/>
      <c r="M29" s="10"/>
      <c r="N29" s="10"/>
      <c r="O29" s="10"/>
      <c r="P29" s="10"/>
      <c r="Q29" s="10"/>
      <c r="R29" s="10"/>
      <c r="S29" s="12"/>
      <c r="T29" s="10"/>
      <c r="U29" s="10"/>
      <c r="V29" s="10"/>
    </row>
    <row r="30" spans="1:22" s="3" customFormat="1" ht="22" x14ac:dyDescent="0.3">
      <c r="A30" s="13" t="s">
        <v>35</v>
      </c>
      <c r="B30" s="13" t="s">
        <v>52</v>
      </c>
      <c r="C30" s="25"/>
      <c r="D30" s="25"/>
      <c r="E30" s="26">
        <v>640</v>
      </c>
      <c r="F30" s="25">
        <v>0</v>
      </c>
      <c r="G30" s="25">
        <v>0</v>
      </c>
      <c r="H30" s="25">
        <v>0</v>
      </c>
      <c r="I30" s="25">
        <v>0</v>
      </c>
      <c r="J30" s="25">
        <v>500</v>
      </c>
      <c r="K30" s="12">
        <v>500</v>
      </c>
      <c r="L30" s="32">
        <v>432</v>
      </c>
      <c r="M30" s="12"/>
      <c r="N30" s="12"/>
      <c r="O30" s="12"/>
      <c r="P30" s="12"/>
      <c r="Q30" s="32">
        <v>750</v>
      </c>
      <c r="R30" s="12"/>
      <c r="S30" s="12"/>
      <c r="T30" s="12"/>
      <c r="U30" s="12"/>
      <c r="V30" s="12"/>
    </row>
    <row r="31" spans="1:22" s="3" customFormat="1" ht="22" x14ac:dyDescent="0.3">
      <c r="A31" s="13" t="s">
        <v>35</v>
      </c>
      <c r="B31" s="13" t="s">
        <v>14</v>
      </c>
      <c r="C31" s="25"/>
      <c r="D31" s="25"/>
      <c r="E31" s="25">
        <v>600</v>
      </c>
      <c r="F31" s="25">
        <v>600</v>
      </c>
      <c r="G31" s="25"/>
      <c r="H31" s="25">
        <v>580</v>
      </c>
      <c r="I31" s="25"/>
      <c r="J31" s="25"/>
      <c r="K31" s="12"/>
      <c r="L31" s="12"/>
      <c r="M31" s="12"/>
      <c r="N31" s="12"/>
      <c r="O31" s="12"/>
      <c r="P31" s="12"/>
      <c r="Q31" s="32">
        <v>250</v>
      </c>
      <c r="R31" s="12"/>
      <c r="S31" s="12"/>
      <c r="T31" s="12"/>
      <c r="U31" s="12"/>
      <c r="V31" s="12"/>
    </row>
    <row r="32" spans="1:22" s="3" customFormat="1" ht="22" x14ac:dyDescent="0.3">
      <c r="A32" s="13" t="s">
        <v>35</v>
      </c>
      <c r="B32" s="13" t="s">
        <v>57</v>
      </c>
      <c r="C32" s="25"/>
      <c r="D32" s="25"/>
      <c r="E32" s="25"/>
      <c r="F32" s="25"/>
      <c r="G32" s="25"/>
      <c r="H32" s="25"/>
      <c r="I32" s="28">
        <v>2227</v>
      </c>
      <c r="J32" s="25"/>
      <c r="K32" s="12"/>
      <c r="L32" s="12"/>
      <c r="M32" s="12"/>
      <c r="N32" s="12"/>
      <c r="O32" s="12"/>
      <c r="P32" s="12"/>
      <c r="Q32" s="32">
        <v>1090</v>
      </c>
      <c r="R32" s="12"/>
      <c r="S32" s="12"/>
      <c r="T32" s="12"/>
      <c r="U32" s="12"/>
      <c r="V32" s="12"/>
    </row>
    <row r="33" spans="1:22" s="3" customFormat="1" ht="22" x14ac:dyDescent="0.3">
      <c r="A33" s="13" t="s">
        <v>35</v>
      </c>
      <c r="B33" s="13" t="s">
        <v>58</v>
      </c>
      <c r="C33" s="25"/>
      <c r="D33" s="25"/>
      <c r="E33" s="25"/>
      <c r="F33" s="25"/>
      <c r="G33" s="25"/>
      <c r="H33" s="25"/>
      <c r="I33" s="25">
        <v>2065</v>
      </c>
      <c r="J33" s="25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>
        <v>2000</v>
      </c>
      <c r="V33" s="12"/>
    </row>
    <row r="34" spans="1:22" s="3" customFormat="1" ht="22" x14ac:dyDescent="0.3">
      <c r="A34" s="13" t="s">
        <v>35</v>
      </c>
      <c r="B34" s="13" t="s">
        <v>51</v>
      </c>
      <c r="C34" s="25"/>
      <c r="D34" s="25"/>
      <c r="E34" s="25"/>
      <c r="F34" s="25"/>
      <c r="G34" s="25"/>
      <c r="H34" s="25"/>
      <c r="I34" s="25"/>
      <c r="J34" s="25"/>
      <c r="K34" s="12"/>
      <c r="L34" s="12"/>
      <c r="M34" s="12">
        <v>900</v>
      </c>
      <c r="N34" s="32">
        <v>500</v>
      </c>
      <c r="O34" s="32">
        <v>500</v>
      </c>
      <c r="P34" s="32">
        <v>500</v>
      </c>
      <c r="Q34" s="32">
        <v>900</v>
      </c>
      <c r="R34" s="12">
        <v>900</v>
      </c>
      <c r="S34" s="32">
        <v>900</v>
      </c>
      <c r="T34" s="12"/>
      <c r="U34" s="12">
        <v>900</v>
      </c>
      <c r="V34" s="12">
        <v>900</v>
      </c>
    </row>
    <row r="35" spans="1:22" s="3" customFormat="1" ht="22" x14ac:dyDescent="0.3">
      <c r="A35" s="13" t="s">
        <v>35</v>
      </c>
      <c r="B35" s="13" t="s">
        <v>53</v>
      </c>
      <c r="C35" s="25"/>
      <c r="D35" s="25"/>
      <c r="E35" s="25"/>
      <c r="F35" s="25">
        <v>500</v>
      </c>
      <c r="G35" s="25">
        <v>500</v>
      </c>
      <c r="H35" s="25"/>
      <c r="I35" s="25"/>
      <c r="J35" s="25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s="3" customFormat="1" ht="22" x14ac:dyDescent="0.3">
      <c r="A36" s="13" t="s">
        <v>35</v>
      </c>
      <c r="B36" s="13" t="s">
        <v>3</v>
      </c>
      <c r="C36" s="25">
        <v>3100</v>
      </c>
      <c r="D36" s="25">
        <v>1700</v>
      </c>
      <c r="E36" s="25">
        <v>1820</v>
      </c>
      <c r="F36" s="25">
        <v>1820</v>
      </c>
      <c r="G36" s="25">
        <v>0</v>
      </c>
      <c r="H36" s="25">
        <v>0</v>
      </c>
      <c r="I36" s="25">
        <v>0</v>
      </c>
      <c r="J36" s="25">
        <v>0</v>
      </c>
      <c r="K36" s="12">
        <v>0</v>
      </c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 s="11" customFormat="1" ht="22" x14ac:dyDescent="0.3">
      <c r="A37" s="13" t="s">
        <v>35</v>
      </c>
      <c r="B37" s="13" t="s">
        <v>12</v>
      </c>
      <c r="C37" s="25">
        <v>600</v>
      </c>
      <c r="D37" s="25">
        <v>600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12">
        <v>0</v>
      </c>
      <c r="L37" s="12"/>
      <c r="M37" s="12"/>
      <c r="N37" s="12"/>
      <c r="O37" s="12"/>
      <c r="P37" s="12"/>
      <c r="Q37" s="12"/>
      <c r="R37" s="12"/>
      <c r="S37" s="32">
        <v>1700</v>
      </c>
      <c r="T37" s="12"/>
      <c r="U37" s="12"/>
      <c r="V37" s="12"/>
    </row>
    <row r="38" spans="1:22" s="11" customFormat="1" ht="22" x14ac:dyDescent="0.3">
      <c r="A38" s="13" t="s">
        <v>35</v>
      </c>
      <c r="B38" s="13" t="s">
        <v>88</v>
      </c>
      <c r="C38" s="25"/>
      <c r="D38" s="25"/>
      <c r="E38" s="25"/>
      <c r="F38" s="25"/>
      <c r="G38" s="25"/>
      <c r="H38" s="25"/>
      <c r="I38" s="25"/>
      <c r="J38" s="25"/>
      <c r="K38" s="12"/>
      <c r="L38" s="12"/>
      <c r="M38" s="12"/>
      <c r="N38" s="12"/>
      <c r="O38" s="12"/>
      <c r="P38" s="12"/>
      <c r="Q38" s="12"/>
      <c r="R38" s="12"/>
      <c r="S38" s="32">
        <v>1432</v>
      </c>
      <c r="T38" s="12"/>
      <c r="U38" s="12"/>
      <c r="V38" s="12"/>
    </row>
    <row r="39" spans="1:22" s="3" customFormat="1" ht="22" x14ac:dyDescent="0.3">
      <c r="A39" s="13" t="s">
        <v>35</v>
      </c>
      <c r="B39" s="13" t="s">
        <v>55</v>
      </c>
      <c r="C39" s="25"/>
      <c r="D39" s="25"/>
      <c r="E39" s="25"/>
      <c r="F39" s="25"/>
      <c r="G39" s="25"/>
      <c r="H39" s="25"/>
      <c r="I39" s="25"/>
      <c r="J39" s="25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spans="1:22" s="3" customFormat="1" ht="22" x14ac:dyDescent="0.3">
      <c r="A40" s="13" t="s">
        <v>35</v>
      </c>
      <c r="B40" s="13" t="s">
        <v>64</v>
      </c>
      <c r="C40" s="25"/>
      <c r="D40" s="25"/>
      <c r="E40" s="25"/>
      <c r="F40" s="25"/>
      <c r="G40" s="25"/>
      <c r="H40" s="25"/>
      <c r="I40" s="25"/>
      <c r="J40" s="25"/>
      <c r="K40" s="12"/>
      <c r="L40" s="12"/>
      <c r="M40" s="12"/>
      <c r="N40" s="32">
        <v>200</v>
      </c>
      <c r="O40" s="32">
        <v>200</v>
      </c>
      <c r="P40" s="32">
        <v>200</v>
      </c>
      <c r="Q40" s="32">
        <v>200</v>
      </c>
      <c r="R40" s="12">
        <v>200</v>
      </c>
      <c r="S40" s="12">
        <v>1000</v>
      </c>
      <c r="T40" s="12"/>
      <c r="U40" s="12">
        <v>200</v>
      </c>
      <c r="V40" s="12">
        <v>200</v>
      </c>
    </row>
    <row r="41" spans="1:22" s="3" customFormat="1" ht="22" x14ac:dyDescent="0.3">
      <c r="A41" s="13" t="s">
        <v>35</v>
      </c>
      <c r="B41" s="13" t="s">
        <v>59</v>
      </c>
      <c r="C41" s="25"/>
      <c r="D41" s="25"/>
      <c r="E41" s="25"/>
      <c r="F41" s="25"/>
      <c r="G41" s="25"/>
      <c r="H41" s="25"/>
      <c r="I41" s="25"/>
      <c r="J41" s="25"/>
      <c r="K41" s="12"/>
      <c r="L41" s="32">
        <v>700</v>
      </c>
      <c r="M41" s="12"/>
      <c r="N41" s="12"/>
      <c r="O41" s="12">
        <v>700</v>
      </c>
      <c r="P41" s="12"/>
      <c r="Q41" s="12"/>
      <c r="R41" s="12"/>
      <c r="S41" s="12">
        <v>0</v>
      </c>
      <c r="T41" s="12"/>
      <c r="U41" s="12">
        <v>700</v>
      </c>
      <c r="V41" s="12"/>
    </row>
    <row r="42" spans="1:22" s="3" customFormat="1" ht="22" x14ac:dyDescent="0.3">
      <c r="A42" s="13" t="s">
        <v>35</v>
      </c>
      <c r="B42" s="13" t="s">
        <v>66</v>
      </c>
      <c r="C42" s="25"/>
      <c r="D42" s="25"/>
      <c r="E42" s="25"/>
      <c r="F42" s="25"/>
      <c r="G42" s="25"/>
      <c r="H42" s="25"/>
      <c r="I42" s="25"/>
      <c r="J42" s="25"/>
      <c r="K42" s="12"/>
      <c r="L42" s="12"/>
      <c r="M42" s="12"/>
      <c r="N42" s="12"/>
      <c r="O42" s="12"/>
      <c r="P42" s="12"/>
      <c r="Q42" s="12"/>
      <c r="R42" s="12"/>
      <c r="S42" s="32">
        <v>1000</v>
      </c>
      <c r="T42" s="12">
        <v>1000</v>
      </c>
      <c r="U42" s="12">
        <v>1000</v>
      </c>
      <c r="V42" s="12">
        <v>1000</v>
      </c>
    </row>
    <row r="43" spans="1:22" s="3" customFormat="1" ht="22" x14ac:dyDescent="0.3">
      <c r="A43" s="13" t="s">
        <v>35</v>
      </c>
      <c r="B43" s="13" t="s">
        <v>19</v>
      </c>
      <c r="C43" s="25">
        <v>0</v>
      </c>
      <c r="D43" s="25">
        <v>500</v>
      </c>
      <c r="E43" s="25"/>
      <c r="F43" s="25"/>
      <c r="G43" s="29">
        <v>5000</v>
      </c>
      <c r="H43" s="25"/>
      <c r="I43" s="25"/>
      <c r="J43" s="25">
        <v>3000</v>
      </c>
      <c r="K43" s="12">
        <v>3000</v>
      </c>
      <c r="L43" s="32">
        <v>200</v>
      </c>
      <c r="M43" s="35">
        <v>500</v>
      </c>
      <c r="N43" s="32">
        <v>850</v>
      </c>
      <c r="O43" s="32">
        <v>900</v>
      </c>
      <c r="P43" s="32">
        <v>1000</v>
      </c>
      <c r="Q43" s="32">
        <v>1000</v>
      </c>
      <c r="R43" s="14">
        <v>800</v>
      </c>
      <c r="S43" s="32">
        <v>1000</v>
      </c>
      <c r="T43" s="14">
        <v>500</v>
      </c>
      <c r="U43" s="14">
        <v>1000</v>
      </c>
      <c r="V43" s="14">
        <v>1000</v>
      </c>
    </row>
    <row r="44" spans="1:22" ht="22" x14ac:dyDescent="0.3">
      <c r="A44" s="30" t="s">
        <v>48</v>
      </c>
      <c r="B44" s="30" t="s">
        <v>0</v>
      </c>
      <c r="C44" s="31">
        <f>SUMIF('Jeanre Transactional'!$A$2:$A$44,"Credit", 'Jeanre Transactional'!$C$2:$C$44)-SUMIF('Jeanre Transactional'!$A$2:$A$44,"Debit", 'Jeanre Transactional'!$C$2:$C$44)</f>
        <v>538</v>
      </c>
      <c r="D44" s="31">
        <f>SUMIF('Jeanre Transactional'!$A$2:$A$44,"Credit", 'Jeanre Transactional'!$D$2:$D$44)-SUMIF('Jeanre Transactional'!$A$2:$A$44,"Debit", 'Jeanre Transactional'!$D$2:$D$44)</f>
        <v>1502</v>
      </c>
      <c r="E44" s="31">
        <f>SUMIF('Jeanre Transactional'!$A$2:$A$44,"Credit", 'Jeanre Transactional'!$E$2:$E$44)-SUMIF('Jeanre Transactional'!$A$2:$A$44,"Debit", 'Jeanre Transactional'!$E$2:$E$44)</f>
        <v>142</v>
      </c>
      <c r="F44" s="31">
        <f>SUMIF('Jeanre Transactional'!$A$2:$A$44,"Credit", 'Jeanre Transactional'!$F$2:$F$44)-SUMIF('Jeanre Transactional'!$A$2:$A$44,"Debit", 'Jeanre Transactional'!$F$2:$F$44)</f>
        <v>-168</v>
      </c>
      <c r="G44" s="31">
        <f>SUMIF('Jeanre Transactional'!$A$2:$A$44,"Credit", 'Jeanre Transactional'!$G$2:$G$44)-SUMIF('Jeanre Transactional'!$A$2:$A$44,"Debit", 'Jeanre Transactional'!$G$2:$G$44)</f>
        <v>1982</v>
      </c>
      <c r="H44" s="31">
        <f>SUMIF('Jeanre Transactional'!$A$2:$A$44,"Credit", 'Jeanre Transactional'!$H$2:$H$44)-SUMIF('Jeanre Transactional'!$A$2:$A$44,"Debit", 'Jeanre Transactional'!$H$2:$H$44)</f>
        <v>-473</v>
      </c>
      <c r="I44" s="31">
        <f>SUMIF('Jeanre Transactional'!$A$2:$A$44,"Credit", 'Jeanre Transactional'!$I$2:$I$44)-SUMIF('Jeanre Transactional'!$A$2:$A$44,"Debit", 'Jeanre Transactional'!$I$2:$I$44)</f>
        <v>65</v>
      </c>
      <c r="J44" s="31">
        <f>SUMIF('Jeanre Transactional'!$A$2:$A$44,"Credit", 'Jeanre Transactional'!$J$2:$J$44)-SUMIF('Jeanre Transactional'!$A$2:$A$44,"Debit", 'Jeanre Transactional'!$J$2:$J$44)</f>
        <v>-174</v>
      </c>
      <c r="K44" s="5">
        <f>SUMIF(jtrn[Movement], "Credit", jtrn[2025-01-01]) - SUMIF(jtrn[Movement], "Debit", jtrn[2025-01-01])</f>
        <v>-174</v>
      </c>
      <c r="L44" s="5">
        <f>SUMIF(jtrn[Movement], "Credit", jtrn[2025-02-01]) - SUMIF(jtrn[Movement], "Debit", jtrn[2025-02-01])</f>
        <v>10</v>
      </c>
      <c r="M44" s="5">
        <f>SUMIF(jtrn[Movement], "Credit", jtrn[2025-03-01]) - SUMIF(jtrn[Movement], "Debit", jtrn[2025-03-01])</f>
        <v>614</v>
      </c>
      <c r="N44" s="5">
        <f>SUMIF(jtrn[Movement], "Credit", jtrn[2025-04-01]) - SUMIF(jtrn[Movement], "Debit", jtrn[2025-04-01])</f>
        <v>16</v>
      </c>
      <c r="O44" s="5">
        <f>SUMIF(jtrn[Movement], "Credit", jtrn[2025-05-01]) - SUMIF(jtrn[Movement], "Debit", jtrn[2025-05-01])</f>
        <v>530</v>
      </c>
      <c r="P44" s="5">
        <f>SUMIF(jtrn[Movement], "Credit", jtrn[2025-06-01]) - SUMIF(jtrn[Movement], "Debit", jtrn[2025-06-01])</f>
        <v>1359</v>
      </c>
      <c r="Q44" s="5">
        <f>SUMIF(jtrn[Movement], "Credit", jtrn[2025-07-01]) - SUMIF(jtrn[Movement], "Debit", jtrn[2025-07-01])</f>
        <v>1367</v>
      </c>
      <c r="R44" s="5">
        <f>SUMIF(jtrn[Movement], "Credit", jtrn[2025-08-01]) - SUMIF(jtrn[Movement], "Debit", jtrn[2025-08-01])</f>
        <v>8961</v>
      </c>
      <c r="S44" s="5">
        <f>SUMIF(jtrn[Movement], "Credit", jtrn[2025-09-01]) - SUMIF(jtrn[Movement], "Debit", jtrn[2025-09-01])</f>
        <v>-3223</v>
      </c>
      <c r="T44" s="5">
        <f>SUMIF(jtrn[Movement], "Credit", jtrn[2025-10-01]) - SUMIF(jtrn[Movement], "Debit", jtrn[2025-10-01])</f>
        <v>-2374.7900000000009</v>
      </c>
      <c r="U44" s="5">
        <f>SUMIF(jtrn[Movement], "Credit", jtrn[2025-11-01]) - SUMIF(jtrn[Movement], "Debit", jtrn[2025-11-01])</f>
        <v>-2009.7900000000009</v>
      </c>
      <c r="V44" s="5">
        <f>SUMIF(jtrn[Movement], "Credit", jtrn[2025-12-01]) - SUMIF(jtrn[Movement], "Debit", jtrn[2025-12-01])</f>
        <v>1055.2099999999991</v>
      </c>
    </row>
    <row r="45" spans="1:22" ht="22" x14ac:dyDescent="0.3">
      <c r="A45" s="30" t="s">
        <v>63</v>
      </c>
      <c r="B45" s="30" t="s">
        <v>0</v>
      </c>
      <c r="C45" s="31">
        <f>SUMIF('Jeanre Transactional'!$A$2:$A$44,"Credit", 'Jeanre Transactional'!$C$2:$C$44)-SUMIF('Jeanre Transactional'!$A$2:$A$44,"Debit", 'Jeanre Transactional'!$C$2:$C$44)</f>
        <v>538</v>
      </c>
      <c r="D45" s="31">
        <f>SUMIF('Jeanre Transactional'!$A$2:$A$44,"Credit", 'Jeanre Transactional'!$D$2:$D$44)-SUMIF('Jeanre Transactional'!$A$2:$A$44,"Debit", 'Jeanre Transactional'!$D$2:$D$44)</f>
        <v>1502</v>
      </c>
      <c r="E45" s="31">
        <f>SUMIF('Jeanre Transactional'!$A$2:$A$44,"Credit", 'Jeanre Transactional'!$E$2:$E$44)-SUMIF('Jeanre Transactional'!$A$2:$A$44,"Debit", 'Jeanre Transactional'!$E$2:$E$44)</f>
        <v>142</v>
      </c>
      <c r="F45" s="31">
        <f>SUMIF('Jeanre Transactional'!$A$2:$A$44,"Credit", 'Jeanre Transactional'!$F$2:$F$44)-SUMIF('Jeanre Transactional'!$A$2:$A$44,"Debit", 'Jeanre Transactional'!$F$2:$F$44)</f>
        <v>-168</v>
      </c>
      <c r="G45" s="31">
        <f>SUMIF('Jeanre Transactional'!$A$2:$A$44,"Credit", 'Jeanre Transactional'!$G$2:$G$44)-SUMIF('Jeanre Transactional'!$A$2:$A$44,"Debit", 'Jeanre Transactional'!$G$2:$G$44)</f>
        <v>1982</v>
      </c>
      <c r="H45" s="31">
        <f>SUMIF('Jeanre Transactional'!$A$2:$A$44,"Credit", 'Jeanre Transactional'!$H$2:$H$44)-SUMIF('Jeanre Transactional'!$A$2:$A$44,"Debit", 'Jeanre Transactional'!$H$2:$H$44)</f>
        <v>-473</v>
      </c>
      <c r="I45" s="31">
        <f>SUMIF('Jeanre Transactional'!$A$2:$A$44,"Credit", 'Jeanre Transactional'!$I$2:$I$44)-SUMIF('Jeanre Transactional'!$A$2:$A$44,"Debit", 'Jeanre Transactional'!$I$2:$I$44)</f>
        <v>65</v>
      </c>
      <c r="J45" s="31">
        <f>SUMIF('Jeanre Transactional'!$A$2:$A$44,"Credit", 'Jeanre Transactional'!$J$2:$J$44)-SUMIF('Jeanre Transactional'!$A$2:$A$44,"Debit", 'Jeanre Transactional'!$J$2:$J$44)</f>
        <v>-174</v>
      </c>
      <c r="K45" s="5">
        <f>SUMIF(jtrn[Movement], "Credit", jtrn[2025-01-01]) - SUMIF(jtrn[Movement], "Debit", jtrn[2025-01-01])</f>
        <v>-174</v>
      </c>
      <c r="L45" s="5">
        <f>SUMIF(jtrn[Movement], "Credit", jtrn[2025-02-01]) - SUMIF(jtrn[Movement], "Debit", jtrn[2025-02-01])</f>
        <v>10</v>
      </c>
      <c r="M45" s="5">
        <f>SUMIF(jtrn[Movement], "Credit", jtrn[2025-03-01]) - SUMIF(jtrn[Movement], "Debit", jtrn[2025-03-01]) - SUMIF(jtrn[Account Secondary], "Retained Balance", jtrn[2025-03-01])</f>
        <v>355</v>
      </c>
      <c r="N45" s="5">
        <f>SUMIF(jtrn[Movement], "Credit", jtrn[2025-04-01]) - SUMIF(jtrn[Movement], "Debit", jtrn[2025-04-01])- SUMIF(jtrn[Account Secondary], "Retained Balance", jtrn[2025-04-01])</f>
        <v>-121</v>
      </c>
      <c r="O45" s="5">
        <f>SUMIF(jtrn[Movement], "Credit", jtrn[2025-05-01]) - SUMIF(jtrn[Movement], "Debit", jtrn[2025-05-01])- SUMIF(jtrn[Account Secondary], "Retained Balance", jtrn[2025-05-01])</f>
        <v>530</v>
      </c>
      <c r="P45" s="5">
        <f>SUMIF(jtrn[Movement], "Credit", jtrn[2025-06-01]) - SUMIF(jtrn[Movement], "Debit", jtrn[2025-06-01])- SUMIF(jtrn[Account Secondary], "Retained Balance", jtrn[2025-06-01])</f>
        <v>335</v>
      </c>
      <c r="Q45" s="5">
        <f>SUMIF(jtrn[Movement], "Credit", jtrn[2025-07-01]) - SUMIF(jtrn[Movement], "Debit", jtrn[2025-07-01])- SUMIF(jtrn[Account Secondary], "Retained Balance", jtrn[2025-07-01])</f>
        <v>467</v>
      </c>
      <c r="R45" s="5">
        <f>SUMIF(jtrn[Movement], "Credit", jtrn[2025-08-01]) - SUMIF(jtrn[Movement], "Debit", jtrn[2025-08-01])- SUMIF(jtrn[Account Secondary], "Retained Balance", jtrn[2025-08-01])</f>
        <v>7594</v>
      </c>
      <c r="S45" s="5">
        <f>SUMIF(jtrn[Movement], "Credit", jtrn[2025-09-01]) - SUMIF(jtrn[Movement], "Debit", jtrn[2025-09-01])- SUMIF(jtrn[Account Secondary], "Retained Balance", jtrn[2025-09-01])</f>
        <v>-3257</v>
      </c>
      <c r="T45" s="5">
        <f>SUMIF(jtrn[Movement], "Credit", jtrn[2025-10-01]) - SUMIF(jtrn[Movement], "Debit", jtrn[2025-10-01])- SUMIF(jtrn[Account Secondary], "Retained Balance", jtrn[2025-10-01])</f>
        <v>-2500.0000000000009</v>
      </c>
      <c r="U45" s="5">
        <f>SUMIF(jtrn[Movement], "Credit", jtrn[2025-11-01]) - SUMIF(jtrn[Movement], "Debit", jtrn[2025-11-01])- SUMIF(jtrn[Account Secondary], "Retained Balance", jtrn[2025-11-01])</f>
        <v>365</v>
      </c>
      <c r="V45" s="5">
        <f>SUMIF(jtrn[Movement], "Credit", jtrn[2025-12-01]) - SUMIF(jtrn[Movement], "Debit", jtrn[2025-12-01])- SUMIF(jtrn[Account Secondary], "Retained Balance", jtrn[2025-12-01])</f>
        <v>3065</v>
      </c>
    </row>
    <row r="48" spans="1:22" hidden="1" x14ac:dyDescent="0.2"/>
    <row r="49" spans="15:30" hidden="1" x14ac:dyDescent="0.2">
      <c r="O49" s="1" t="s">
        <v>65</v>
      </c>
      <c r="Q49" s="44" t="s">
        <v>80</v>
      </c>
      <c r="R49" s="44">
        <v>250</v>
      </c>
      <c r="S49" t="s">
        <v>67</v>
      </c>
      <c r="T49" s="42">
        <v>10545.22</v>
      </c>
      <c r="V49" s="42" t="s">
        <v>60</v>
      </c>
      <c r="W49" s="42">
        <v>1697</v>
      </c>
      <c r="Z49" s="42" t="s">
        <v>71</v>
      </c>
      <c r="AA49" s="42">
        <v>300</v>
      </c>
      <c r="AB49" s="42"/>
      <c r="AC49" s="42" t="s">
        <v>61</v>
      </c>
      <c r="AD49" s="42">
        <v>300</v>
      </c>
    </row>
    <row r="50" spans="15:30" hidden="1" x14ac:dyDescent="0.2">
      <c r="S50" s="45" t="s">
        <v>75</v>
      </c>
      <c r="T50" s="42">
        <v>6305</v>
      </c>
      <c r="V50" s="42" t="s">
        <v>68</v>
      </c>
      <c r="W50" s="42">
        <v>70</v>
      </c>
      <c r="Z50" s="42"/>
      <c r="AA50" s="42"/>
      <c r="AB50" s="42"/>
      <c r="AC50" s="42" t="s">
        <v>61</v>
      </c>
      <c r="AD50" s="42">
        <v>250</v>
      </c>
    </row>
    <row r="51" spans="15:30" hidden="1" x14ac:dyDescent="0.2">
      <c r="S51" t="s">
        <v>78</v>
      </c>
      <c r="T51">
        <v>3445</v>
      </c>
      <c r="U51" t="s">
        <v>83</v>
      </c>
      <c r="V51" s="42" t="s">
        <v>62</v>
      </c>
      <c r="W51" s="42">
        <v>2234</v>
      </c>
    </row>
    <row r="52" spans="15:30" hidden="1" x14ac:dyDescent="0.2">
      <c r="S52" t="s">
        <v>79</v>
      </c>
      <c r="T52">
        <v>2508</v>
      </c>
      <c r="U52" t="s">
        <v>83</v>
      </c>
      <c r="V52" s="42" t="s">
        <v>69</v>
      </c>
      <c r="W52" s="42">
        <v>129</v>
      </c>
    </row>
    <row r="53" spans="15:30" hidden="1" x14ac:dyDescent="0.2">
      <c r="T53" s="43">
        <f>SUM(T49:T52)</f>
        <v>22803.22</v>
      </c>
      <c r="V53" s="42" t="s">
        <v>70</v>
      </c>
      <c r="W53" s="42">
        <v>95</v>
      </c>
    </row>
    <row r="54" spans="15:30" hidden="1" x14ac:dyDescent="0.2">
      <c r="V54" s="42" t="s">
        <v>72</v>
      </c>
      <c r="W54" s="42">
        <v>220</v>
      </c>
    </row>
    <row r="55" spans="15:30" hidden="1" x14ac:dyDescent="0.2">
      <c r="V55" s="42" t="s">
        <v>73</v>
      </c>
      <c r="W55" s="42">
        <v>345</v>
      </c>
    </row>
    <row r="56" spans="15:30" hidden="1" x14ac:dyDescent="0.2">
      <c r="S56" s="42" t="s">
        <v>81</v>
      </c>
      <c r="T56" s="42">
        <v>1090</v>
      </c>
      <c r="V56" s="42" t="s">
        <v>74</v>
      </c>
      <c r="W56" s="42">
        <v>321</v>
      </c>
    </row>
    <row r="57" spans="15:30" hidden="1" x14ac:dyDescent="0.2">
      <c r="V57" s="42" t="s">
        <v>76</v>
      </c>
      <c r="W57" s="42">
        <v>422</v>
      </c>
    </row>
    <row r="58" spans="15:30" hidden="1" x14ac:dyDescent="0.2">
      <c r="S58" t="s">
        <v>82</v>
      </c>
      <c r="T58">
        <v>700</v>
      </c>
      <c r="V58" s="42" t="s">
        <v>74</v>
      </c>
      <c r="W58" s="42">
        <v>105</v>
      </c>
    </row>
    <row r="59" spans="15:30" hidden="1" x14ac:dyDescent="0.2">
      <c r="V59" s="42" t="s">
        <v>77</v>
      </c>
      <c r="W59" s="42">
        <v>290</v>
      </c>
    </row>
    <row r="60" spans="15:30" hidden="1" x14ac:dyDescent="0.2">
      <c r="V60" s="42"/>
      <c r="W60" s="42">
        <f>SUM(W49:W59)</f>
        <v>5928</v>
      </c>
    </row>
    <row r="61" spans="15:30" hidden="1" x14ac:dyDescent="0.2"/>
    <row r="62" spans="15:30" hidden="1" x14ac:dyDescent="0.2"/>
    <row r="63" spans="15:30" hidden="1" x14ac:dyDescent="0.2"/>
    <row r="64" spans="15:30" hidden="1" x14ac:dyDescent="0.2"/>
    <row r="65" spans="19:22" hidden="1" x14ac:dyDescent="0.2"/>
    <row r="66" spans="19:22" hidden="1" x14ac:dyDescent="0.2"/>
    <row r="67" spans="19:22" hidden="1" x14ac:dyDescent="0.2"/>
    <row r="68" spans="19:22" hidden="1" x14ac:dyDescent="0.2"/>
    <row r="69" spans="19:22" hidden="1" x14ac:dyDescent="0.2">
      <c r="S69" t="s">
        <v>51</v>
      </c>
      <c r="T69">
        <v>2000</v>
      </c>
    </row>
    <row r="70" spans="19:22" hidden="1" x14ac:dyDescent="0.2"/>
    <row r="71" spans="19:22" hidden="1" x14ac:dyDescent="0.2">
      <c r="S71" t="s">
        <v>61</v>
      </c>
      <c r="T71">
        <v>403</v>
      </c>
    </row>
    <row r="72" spans="19:22" hidden="1" x14ac:dyDescent="0.2">
      <c r="S72" t="s">
        <v>84</v>
      </c>
      <c r="T72">
        <v>408</v>
      </c>
    </row>
    <row r="73" spans="19:22" hidden="1" x14ac:dyDescent="0.2">
      <c r="T73" s="45">
        <f>SUM(T69:T72)</f>
        <v>2811</v>
      </c>
      <c r="U73" s="45">
        <f>T50-T73</f>
        <v>3494</v>
      </c>
      <c r="V73" t="s">
        <v>85</v>
      </c>
    </row>
    <row r="74" spans="19:22" hidden="1" x14ac:dyDescent="0.2"/>
    <row r="77" spans="19:22" x14ac:dyDescent="0.2">
      <c r="S77" s="42"/>
    </row>
    <row r="78" spans="19:22" x14ac:dyDescent="0.2">
      <c r="S78" s="42"/>
    </row>
    <row r="81" spans="19:23" x14ac:dyDescent="0.2">
      <c r="S81" s="42"/>
      <c r="V81" t="s">
        <v>208</v>
      </c>
      <c r="W81">
        <v>86.6</v>
      </c>
    </row>
    <row r="82" spans="19:23" x14ac:dyDescent="0.2">
      <c r="S82" s="42"/>
      <c r="W82">
        <v>233.2</v>
      </c>
    </row>
    <row r="83" spans="19:23" x14ac:dyDescent="0.2">
      <c r="W83">
        <v>505.9</v>
      </c>
    </row>
    <row r="84" spans="19:23" x14ac:dyDescent="0.2">
      <c r="W84">
        <v>240</v>
      </c>
    </row>
    <row r="85" spans="19:23" x14ac:dyDescent="0.2">
      <c r="W85">
        <v>155</v>
      </c>
    </row>
    <row r="86" spans="19:23" x14ac:dyDescent="0.2">
      <c r="W86">
        <v>55</v>
      </c>
    </row>
    <row r="89" spans="19:23" x14ac:dyDescent="0.2">
      <c r="W89">
        <f>SUM(W81:W88)</f>
        <v>1275.6999999999998</v>
      </c>
    </row>
    <row r="92" spans="19:23" x14ac:dyDescent="0.2">
      <c r="V92" t="s">
        <v>215</v>
      </c>
    </row>
  </sheetData>
  <phoneticPr fontId="4" type="noConversion"/>
  <conditionalFormatting sqref="M44:V45">
    <cfRule type="cellIs" dxfId="35" priority="2" operator="greaterThan">
      <formula>0</formula>
    </cfRule>
    <cfRule type="cellIs" dxfId="34" priority="3" operator="lessThan">
      <formula>0</formula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54C2-EB8B-AD4B-9ECB-E7CD180A31DB}">
  <dimension ref="A1:W15"/>
  <sheetViews>
    <sheetView showGridLines="0" zoomScale="137" workbookViewId="0">
      <selection activeCell="U14" sqref="U14"/>
    </sheetView>
  </sheetViews>
  <sheetFormatPr baseColWidth="10" defaultRowHeight="16" x14ac:dyDescent="0.2"/>
  <cols>
    <col min="1" max="1" width="18.33203125" customWidth="1"/>
    <col min="2" max="2" width="35.33203125" customWidth="1"/>
    <col min="3" max="4" width="15.1640625" style="1" hidden="1" customWidth="1"/>
    <col min="5" max="10" width="15.1640625" hidden="1" customWidth="1"/>
    <col min="11" max="11" width="15.83203125" hidden="1" customWidth="1"/>
    <col min="12" max="12" width="0" hidden="1" customWidth="1"/>
    <col min="13" max="20" width="16.83203125" hidden="1" customWidth="1"/>
    <col min="21" max="23" width="16.83203125" customWidth="1"/>
  </cols>
  <sheetData>
    <row r="1" spans="1:23" ht="17" thickBot="1" x14ac:dyDescent="0.25">
      <c r="A1" s="47" t="s">
        <v>17</v>
      </c>
      <c r="B1" s="48" t="s">
        <v>33</v>
      </c>
      <c r="C1" s="6" t="s">
        <v>22</v>
      </c>
      <c r="D1" s="6" t="s">
        <v>23</v>
      </c>
      <c r="E1" s="6" t="s">
        <v>25</v>
      </c>
      <c r="F1" s="6" t="s">
        <v>24</v>
      </c>
      <c r="G1" s="6" t="s">
        <v>26</v>
      </c>
      <c r="H1" s="6" t="s">
        <v>27</v>
      </c>
      <c r="I1" s="6" t="s">
        <v>28</v>
      </c>
      <c r="J1" s="6" t="s">
        <v>29</v>
      </c>
      <c r="K1" s="49" t="s">
        <v>89</v>
      </c>
      <c r="L1" s="50" t="s">
        <v>36</v>
      </c>
      <c r="M1" s="50" t="s">
        <v>37</v>
      </c>
      <c r="N1" s="50" t="s">
        <v>38</v>
      </c>
      <c r="O1" s="50" t="s">
        <v>39</v>
      </c>
      <c r="P1" s="50" t="s">
        <v>41</v>
      </c>
      <c r="Q1" s="50" t="s">
        <v>40</v>
      </c>
      <c r="R1" s="50" t="s">
        <v>42</v>
      </c>
      <c r="S1" s="50" t="s">
        <v>43</v>
      </c>
      <c r="T1" s="50" t="s">
        <v>44</v>
      </c>
      <c r="U1" s="50" t="s">
        <v>45</v>
      </c>
      <c r="V1" s="50" t="s">
        <v>46</v>
      </c>
      <c r="W1" s="50" t="s">
        <v>47</v>
      </c>
    </row>
    <row r="2" spans="1:23" s="2" customFormat="1" ht="22" x14ac:dyDescent="0.3">
      <c r="A2" s="51" t="s">
        <v>34</v>
      </c>
      <c r="B2" s="51" t="s">
        <v>21</v>
      </c>
      <c r="C2" s="8">
        <v>11000</v>
      </c>
      <c r="D2" s="8">
        <v>11000</v>
      </c>
      <c r="E2" s="8">
        <v>8800</v>
      </c>
      <c r="F2" s="8">
        <v>8800</v>
      </c>
      <c r="G2" s="8">
        <v>8800</v>
      </c>
      <c r="H2" s="8">
        <v>8800</v>
      </c>
      <c r="I2" s="8">
        <v>8800</v>
      </c>
      <c r="J2" s="8">
        <v>11300</v>
      </c>
      <c r="K2" s="8">
        <v>11300</v>
      </c>
      <c r="L2" s="52"/>
      <c r="M2" s="34">
        <v>8800</v>
      </c>
      <c r="N2" s="34">
        <v>9550</v>
      </c>
      <c r="O2" s="7">
        <v>10300</v>
      </c>
      <c r="P2" s="7">
        <v>10300</v>
      </c>
      <c r="Q2" s="7">
        <v>10300</v>
      </c>
      <c r="R2" s="7">
        <v>10300</v>
      </c>
      <c r="S2" s="7">
        <v>10300</v>
      </c>
      <c r="T2" s="8">
        <v>10300</v>
      </c>
      <c r="U2" s="7">
        <v>10300</v>
      </c>
      <c r="V2" s="8">
        <v>10300</v>
      </c>
      <c r="W2" s="8">
        <v>10300</v>
      </c>
    </row>
    <row r="3" spans="1:23" s="2" customFormat="1" ht="22" x14ac:dyDescent="0.3">
      <c r="A3" s="15" t="s">
        <v>34</v>
      </c>
      <c r="B3" s="15" t="s">
        <v>56</v>
      </c>
      <c r="C3" s="8"/>
      <c r="D3" s="8"/>
      <c r="E3" s="8"/>
      <c r="F3" s="8"/>
      <c r="G3" s="8"/>
      <c r="H3" s="8"/>
      <c r="I3" s="8"/>
      <c r="J3" s="8"/>
      <c r="K3" s="53"/>
      <c r="L3" s="53"/>
      <c r="M3" s="54">
        <v>350</v>
      </c>
      <c r="N3" s="54">
        <v>726</v>
      </c>
      <c r="O3" s="55">
        <v>125</v>
      </c>
      <c r="P3" s="55">
        <f>O15</f>
        <v>84</v>
      </c>
      <c r="Q3" s="55">
        <v>30</v>
      </c>
      <c r="R3" s="55">
        <v>33</v>
      </c>
      <c r="S3" s="55">
        <v>34</v>
      </c>
      <c r="T3" s="53">
        <f>S15</f>
        <v>184</v>
      </c>
      <c r="U3" s="53">
        <v>172</v>
      </c>
      <c r="V3" s="53">
        <f>U15</f>
        <v>44</v>
      </c>
      <c r="W3" s="53">
        <f>V15</f>
        <v>-6</v>
      </c>
    </row>
    <row r="4" spans="1:23" s="3" customFormat="1" ht="22" x14ac:dyDescent="0.3">
      <c r="A4" s="13" t="s">
        <v>35</v>
      </c>
      <c r="B4" s="56" t="s">
        <v>90</v>
      </c>
      <c r="C4" s="12">
        <v>2000</v>
      </c>
      <c r="D4" s="12">
        <v>2000</v>
      </c>
      <c r="E4" s="12">
        <v>500</v>
      </c>
      <c r="F4" s="12">
        <v>500</v>
      </c>
      <c r="G4" s="12">
        <v>500</v>
      </c>
      <c r="H4" s="12">
        <v>500</v>
      </c>
      <c r="I4" s="12">
        <v>700</v>
      </c>
      <c r="J4" s="12">
        <v>2200</v>
      </c>
      <c r="K4" s="12">
        <v>2200</v>
      </c>
      <c r="L4" s="52"/>
      <c r="M4" s="35">
        <v>900</v>
      </c>
      <c r="N4" s="35">
        <v>1500</v>
      </c>
      <c r="O4" s="32">
        <v>2000</v>
      </c>
      <c r="P4" s="32">
        <v>2043</v>
      </c>
      <c r="Q4" s="32">
        <v>2000</v>
      </c>
      <c r="R4" s="12">
        <v>1900</v>
      </c>
      <c r="S4" s="32">
        <v>2000</v>
      </c>
      <c r="T4" s="12">
        <v>2000</v>
      </c>
      <c r="U4" s="12">
        <v>2000</v>
      </c>
      <c r="V4" s="12">
        <v>2000</v>
      </c>
      <c r="W4" s="12">
        <v>2000</v>
      </c>
    </row>
    <row r="5" spans="1:23" s="3" customFormat="1" ht="22" x14ac:dyDescent="0.3">
      <c r="A5" s="56" t="s">
        <v>35</v>
      </c>
      <c r="B5" s="57" t="s">
        <v>0</v>
      </c>
      <c r="C5" s="10">
        <v>7700</v>
      </c>
      <c r="D5" s="10">
        <v>7700</v>
      </c>
      <c r="E5" s="10">
        <v>7000</v>
      </c>
      <c r="F5" s="10">
        <v>6800</v>
      </c>
      <c r="G5" s="10">
        <v>7000</v>
      </c>
      <c r="H5" s="10">
        <v>7300</v>
      </c>
      <c r="I5" s="10">
        <v>7750</v>
      </c>
      <c r="J5" s="10">
        <v>8000</v>
      </c>
      <c r="K5" s="10">
        <v>8000</v>
      </c>
      <c r="L5" s="52"/>
      <c r="M5" s="36">
        <v>7700</v>
      </c>
      <c r="N5" s="36">
        <v>8000</v>
      </c>
      <c r="O5" s="33">
        <v>8000</v>
      </c>
      <c r="P5" s="33">
        <v>8000</v>
      </c>
      <c r="Q5" s="33">
        <v>8000</v>
      </c>
      <c r="R5" s="33">
        <v>8000</v>
      </c>
      <c r="S5" s="33">
        <v>7300</v>
      </c>
      <c r="T5" s="10">
        <v>7300</v>
      </c>
      <c r="U5" s="10">
        <v>7500</v>
      </c>
      <c r="V5" s="10">
        <v>7500</v>
      </c>
      <c r="W5" s="10">
        <v>7500</v>
      </c>
    </row>
    <row r="6" spans="1:23" s="3" customFormat="1" ht="22" x14ac:dyDescent="0.3">
      <c r="A6" s="13" t="s">
        <v>35</v>
      </c>
      <c r="B6" s="13" t="s">
        <v>91</v>
      </c>
      <c r="C6" s="12"/>
      <c r="D6" s="12"/>
      <c r="E6" s="12"/>
      <c r="F6" s="12"/>
      <c r="G6" s="12"/>
      <c r="H6" s="12"/>
      <c r="I6" s="12"/>
      <c r="J6" s="12"/>
      <c r="K6" s="58"/>
      <c r="L6" s="58"/>
      <c r="M6" s="58">
        <f>SUMIF([1]!jtrn[Movement], "Credit", [1]!jtrn[2025-02-01]) - SUMIF([1]!jtrn[Movement], "Debit", [1]!jtrn[2025-02-01])</f>
        <v>10</v>
      </c>
      <c r="N6" s="59">
        <v>75</v>
      </c>
      <c r="O6" s="58">
        <v>75</v>
      </c>
      <c r="P6" s="60">
        <v>75</v>
      </c>
      <c r="Q6" s="58">
        <v>75</v>
      </c>
      <c r="R6" s="60">
        <v>110</v>
      </c>
      <c r="S6" s="58">
        <v>200</v>
      </c>
      <c r="T6" s="58">
        <v>200</v>
      </c>
      <c r="U6" s="58">
        <v>200</v>
      </c>
      <c r="V6" s="58">
        <v>200</v>
      </c>
      <c r="W6" s="58">
        <v>200</v>
      </c>
    </row>
    <row r="7" spans="1:23" s="11" customFormat="1" ht="22" x14ac:dyDescent="0.3">
      <c r="A7" s="56" t="s">
        <v>35</v>
      </c>
      <c r="B7" s="57" t="s">
        <v>92</v>
      </c>
      <c r="C7" s="10">
        <v>110</v>
      </c>
      <c r="D7" s="10">
        <v>110</v>
      </c>
      <c r="E7" s="10">
        <v>110</v>
      </c>
      <c r="F7" s="10">
        <v>110</v>
      </c>
      <c r="G7" s="10">
        <v>110</v>
      </c>
      <c r="H7" s="10">
        <v>110</v>
      </c>
      <c r="I7" s="10">
        <v>110</v>
      </c>
      <c r="J7" s="10">
        <v>110</v>
      </c>
      <c r="K7" s="10">
        <v>110</v>
      </c>
      <c r="L7" s="52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spans="1:23" s="11" customFormat="1" ht="22" x14ac:dyDescent="0.3">
      <c r="A8" s="56" t="s">
        <v>35</v>
      </c>
      <c r="B8" s="9" t="s">
        <v>51</v>
      </c>
      <c r="C8" s="10">
        <v>900</v>
      </c>
      <c r="D8" s="10">
        <v>900</v>
      </c>
      <c r="E8" s="10">
        <v>900</v>
      </c>
      <c r="F8" s="10">
        <v>900</v>
      </c>
      <c r="G8" s="10"/>
      <c r="H8" s="10"/>
      <c r="I8" s="10"/>
      <c r="J8" s="10"/>
      <c r="K8" s="10"/>
      <c r="L8" s="52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spans="1:23" s="3" customFormat="1" ht="22" x14ac:dyDescent="0.3">
      <c r="A9" s="56" t="s">
        <v>35</v>
      </c>
      <c r="B9" s="57" t="s">
        <v>93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52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spans="1:23" s="3" customFormat="1" ht="22" x14ac:dyDescent="0.3">
      <c r="A10" s="56" t="s">
        <v>35</v>
      </c>
      <c r="B10" s="13" t="s">
        <v>94</v>
      </c>
      <c r="C10" s="12">
        <v>0</v>
      </c>
      <c r="D10" s="12">
        <v>200</v>
      </c>
      <c r="E10" s="12">
        <v>200</v>
      </c>
      <c r="F10" s="12">
        <v>200</v>
      </c>
      <c r="G10" s="12">
        <v>200</v>
      </c>
      <c r="H10" s="12">
        <v>200</v>
      </c>
      <c r="I10" s="12">
        <v>200</v>
      </c>
      <c r="J10" s="12">
        <v>200</v>
      </c>
      <c r="K10" s="12">
        <v>200</v>
      </c>
      <c r="L10" s="52"/>
      <c r="M10" s="35">
        <v>200</v>
      </c>
      <c r="N10" s="32">
        <v>250</v>
      </c>
      <c r="O10" s="32">
        <v>250</v>
      </c>
      <c r="P10" s="32">
        <v>300</v>
      </c>
      <c r="Q10" s="12">
        <v>200</v>
      </c>
      <c r="R10" s="12">
        <v>200</v>
      </c>
      <c r="S10" s="32">
        <v>150</v>
      </c>
      <c r="T10" s="12">
        <v>150</v>
      </c>
      <c r="U10" s="12">
        <v>150</v>
      </c>
      <c r="V10" s="12">
        <v>150</v>
      </c>
      <c r="W10" s="12">
        <v>150</v>
      </c>
    </row>
    <row r="11" spans="1:23" s="3" customFormat="1" ht="22" x14ac:dyDescent="0.3">
      <c r="A11" s="13" t="s">
        <v>35</v>
      </c>
      <c r="B11" s="13" t="s">
        <v>95</v>
      </c>
      <c r="C11" s="12"/>
      <c r="D11" s="12"/>
      <c r="E11" s="12"/>
      <c r="F11" s="12"/>
      <c r="G11" s="12"/>
      <c r="H11" s="12">
        <v>607</v>
      </c>
      <c r="I11" s="12"/>
      <c r="J11" s="12"/>
      <c r="K11" s="12"/>
      <c r="L11" s="5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 spans="1:23" s="3" customFormat="1" ht="22" x14ac:dyDescent="0.3">
      <c r="A12" s="13" t="s">
        <v>35</v>
      </c>
      <c r="B12" s="13" t="s">
        <v>96</v>
      </c>
      <c r="C12" s="12"/>
      <c r="D12" s="12"/>
      <c r="E12" s="12"/>
      <c r="F12" s="12"/>
      <c r="G12" s="12"/>
      <c r="H12" s="12"/>
      <c r="I12" s="12"/>
      <c r="J12" s="12"/>
      <c r="K12" s="58"/>
      <c r="L12" s="58"/>
      <c r="M12" s="58">
        <f>SUMIF([1]!jtrn[Movement], "Credit", [1]!jtrn[2025-02-01]) - SUMIF([1]!jtrn[Movement], "Debit", [1]!jtrn[2025-02-01])</f>
        <v>10</v>
      </c>
      <c r="N12" s="58">
        <f>SUMIF([1]!jtrn[Movement], "Credit", [1]!jtrn[2025-03-01]) - SUMIF([1]!jtrn[Movement], "Debit", [1]!jtrn[2025-03-01])</f>
        <v>614</v>
      </c>
      <c r="O12" s="58">
        <f>SUMIF([1]!jtrn[Movement], "Credit", [1]!jtrn[2025-04-01]) - SUMIF([1]!jtrn[Movement], "Debit", [1]!jtrn[2025-04-01])</f>
        <v>16</v>
      </c>
      <c r="P12" s="58">
        <f>SUMIF([1]!jtrn[Movement], "Credit", [1]!jtrn[2025-05-01]) - SUMIF([1]!jtrn[Movement], "Debit", [1]!jtrn[2025-05-01])</f>
        <v>530</v>
      </c>
      <c r="Q12" s="58">
        <f>SUMIF([1]!jtrn[Movement], "Credit", [1]!jtrn[2025-06-01]) - SUMIF([1]!jtrn[Movement], "Debit", [1]!jtrn[2025-06-01])</f>
        <v>1359</v>
      </c>
      <c r="R12" s="58">
        <f>SUMIF([1]!jtrn[Movement], "Credit", [1]!jtrn[2025-07-01]) - SUMIF([1]!jtrn[Movement], "Debit", [1]!jtrn[2025-07-01])</f>
        <v>135</v>
      </c>
      <c r="S12" s="60">
        <v>500</v>
      </c>
      <c r="T12" s="58">
        <v>500</v>
      </c>
      <c r="U12" s="58">
        <v>500</v>
      </c>
      <c r="V12" s="58">
        <v>500</v>
      </c>
      <c r="W12" s="58">
        <v>500</v>
      </c>
    </row>
    <row r="13" spans="1:23" s="3" customFormat="1" ht="22" x14ac:dyDescent="0.3">
      <c r="A13" s="13" t="s">
        <v>35</v>
      </c>
      <c r="B13" s="13" t="s">
        <v>14</v>
      </c>
      <c r="C13" s="12"/>
      <c r="D13" s="12"/>
      <c r="E13" s="12"/>
      <c r="F13" s="12"/>
      <c r="G13" s="12"/>
      <c r="H13" s="12"/>
      <c r="I13" s="12"/>
      <c r="J13" s="12"/>
      <c r="K13" s="58"/>
      <c r="L13" s="58"/>
      <c r="M13" s="58">
        <f>SUMIF([1]!jtrn[Movement], "Credit", [1]!jtrn[2025-02-01]) - SUMIF([1]!jtrn[Movement], "Debit", [1]!jtrn[2025-02-01])</f>
        <v>10</v>
      </c>
      <c r="N13" s="59">
        <v>320</v>
      </c>
      <c r="O13" s="58"/>
      <c r="P13" s="58"/>
      <c r="Q13" s="58"/>
      <c r="R13" s="58"/>
      <c r="S13" s="58"/>
      <c r="T13" s="58"/>
      <c r="U13" s="58">
        <v>78</v>
      </c>
      <c r="V13" s="58"/>
      <c r="W13" s="58"/>
    </row>
    <row r="14" spans="1:23" s="3" customFormat="1" ht="22" x14ac:dyDescent="0.3">
      <c r="A14" s="13" t="s">
        <v>35</v>
      </c>
      <c r="B14" s="56" t="s">
        <v>97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5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3" s="64" customFormat="1" ht="22" x14ac:dyDescent="0.3">
      <c r="A15" s="61" t="s">
        <v>48</v>
      </c>
      <c r="B15" s="61" t="s">
        <v>13</v>
      </c>
      <c r="C15" s="62">
        <f>SUMIF(btrn[[Movement]:[Movement]],"Credit", btrn[2024-05-01])-SUMIF(btrn[[Movement]:[Movement]],"Debit",btrn[2024-05-01])</f>
        <v>290</v>
      </c>
      <c r="D15" s="62">
        <f>SUMIF(btrn[[Movement]:[Movement]],"Credit", btrn[2024-06-01])-SUMIF(btrn[[Movement]:[Movement]],"Debit",btrn[2024-06-01])</f>
        <v>90</v>
      </c>
      <c r="E15" s="62">
        <f>SUMIF(btrn[[Movement]:[Movement]],"Credit", btrn[2024-07-01])-SUMIF(btrn[[Movement]:[Movement]],"Debit",btrn[2024-07-01])</f>
        <v>90</v>
      </c>
      <c r="F15" s="62">
        <f>SUMIF(btrn[[Movement]:[Movement]],"Credit", btrn[2024-08-01])-SUMIF(btrn[[Movement]:[Movement]],"Debit",btrn[2024-08-01])</f>
        <v>290</v>
      </c>
      <c r="G15" s="62">
        <f>SUMIF(btrn[[Movement]:[Movement]],"Credit", btrn[2024-09-01])-SUMIF(btrn[[Movement]:[Movement]],"Debit",btrn[2024-09-01])</f>
        <v>990</v>
      </c>
      <c r="H15" s="62">
        <f>SUMIF(btrn[[Movement]:[Movement]],"Credit", btrn[2024-10-01])-SUMIF(btrn[[Movement]:[Movement]],"Debit",btrn[2024-10-01])</f>
        <v>83</v>
      </c>
      <c r="I15" s="62">
        <f>SUMIF(btrn[[Movement]:[Movement]],"Credit", btrn[2024-11-01])-SUMIF(btrn[[Movement]:[Movement]],"Debit",btrn[2024-11-01])</f>
        <v>40</v>
      </c>
      <c r="J15" s="62">
        <f>SUMIF(btrn[[Movement]:[Movement]],"Credit", btrn[2024-12-01])-SUMIF(btrn[[Movement]:[Movement]],"Debit",btrn[2024-12-01])</f>
        <v>790</v>
      </c>
      <c r="K15" s="62">
        <f>SUMIF(btrn[[Movement]:[Movement]],"Credit", btrn[2024-12-02])-SUMIF(btrn[[Movement]:[Movement]],"Debit",btrn[2024-12-02])</f>
        <v>790</v>
      </c>
      <c r="L15" s="63"/>
      <c r="M15" s="5">
        <f>SUMIF(btrn[Movement], "Credit", btrn[2025-02-01]) - SUMIF(btrn[Movement], "Debit", btrn[2025-02-01])</f>
        <v>320</v>
      </c>
      <c r="N15" s="5">
        <f>SUMIF(btrn[Movement], "Credit", btrn[2025-03-01]) - SUMIF(btrn[Movement], "Debit", btrn[2025-03-01])</f>
        <v>-483</v>
      </c>
      <c r="O15" s="5">
        <f>SUMIF(btrn[Movement], "Credit", btrn[2025-04-01]) - SUMIF(btrn[Movement], "Debit", btrn[2025-04-01])</f>
        <v>84</v>
      </c>
      <c r="P15" s="5">
        <f>SUMIF(btrn[Movement], "Credit", btrn[2025-05-01]) - SUMIF(btrn[Movement], "Debit", btrn[2025-05-01])</f>
        <v>-564</v>
      </c>
      <c r="Q15" s="5">
        <f>SUMIF(btrn[Movement], "Credit", btrn[2025-06-01]) - SUMIF(btrn[Movement], "Debit", btrn[2025-06-01])</f>
        <v>-1304</v>
      </c>
      <c r="R15" s="5">
        <f>SUMIF(btrn[Movement], "Credit", btrn[2025-07-01]) - SUMIF(btrn[Movement], "Debit", btrn[2025-07-01])</f>
        <v>-12</v>
      </c>
      <c r="S15" s="5">
        <f>SUMIF(btrn[Movement], "Credit", btrn[2025-08-01]) - SUMIF(btrn[Movement], "Debit", btrn[2025-08-01])</f>
        <v>184</v>
      </c>
      <c r="T15" s="5">
        <f>SUMIF(btrn[Movement], "Credit", btrn[2025-09-01]) - SUMIF(btrn[Movement], "Debit", btrn[2025-09-01])</f>
        <v>334</v>
      </c>
      <c r="U15" s="5">
        <f>SUMIF(btrn[Movement], "Credit", btrn[2025-10-01]) - SUMIF(btrn[Movement], "Debit", btrn[2025-10-01])</f>
        <v>44</v>
      </c>
      <c r="V15" s="5">
        <f>SUMIF(btrn[Movement], "Credit", btrn[2025-11-01]) - SUMIF(btrn[Movement], "Debit", btrn[2025-11-01])</f>
        <v>-6</v>
      </c>
      <c r="W15" s="5">
        <f>SUMIF(btrn[Movement], "Credit", btrn[2025-12-01]) - SUMIF(btrn[Movement], "Debit", btrn[2025-12-01])</f>
        <v>-56</v>
      </c>
    </row>
  </sheetData>
  <conditionalFormatting sqref="N15:W15">
    <cfRule type="cellIs" dxfId="33" priority="1" operator="lessThan">
      <formula>0</formula>
    </cfRule>
    <cfRule type="cellIs" dxfId="32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82697-1B1E-7842-BDC0-29D7185C31D6}">
  <dimension ref="A1:U17"/>
  <sheetViews>
    <sheetView zoomScale="130" zoomScaleNormal="130" workbookViewId="0">
      <selection activeCell="S10" sqref="S10"/>
    </sheetView>
  </sheetViews>
  <sheetFormatPr baseColWidth="10" defaultRowHeight="16" x14ac:dyDescent="0.2"/>
  <cols>
    <col min="1" max="1" width="20.1640625" customWidth="1"/>
    <col min="2" max="2" width="29.83203125" bestFit="1" customWidth="1"/>
    <col min="3" max="10" width="16.5" hidden="1" customWidth="1"/>
    <col min="11" max="18" width="18.33203125" hidden="1" customWidth="1"/>
    <col min="19" max="21" width="18.33203125" customWidth="1"/>
  </cols>
  <sheetData>
    <row r="1" spans="1:21" x14ac:dyDescent="0.2">
      <c r="A1" t="s">
        <v>98</v>
      </c>
      <c r="B1" t="s">
        <v>99</v>
      </c>
    </row>
    <row r="2" spans="1:21" x14ac:dyDescent="0.2">
      <c r="A2" t="s">
        <v>100</v>
      </c>
      <c r="B2">
        <v>0.16750000000000001</v>
      </c>
    </row>
    <row r="3" spans="1:21" x14ac:dyDescent="0.2">
      <c r="A3" t="s">
        <v>101</v>
      </c>
      <c r="B3">
        <f>B2/12</f>
        <v>1.3958333333333335E-2</v>
      </c>
    </row>
    <row r="7" spans="1:21" ht="17" thickBot="1" x14ac:dyDescent="0.25">
      <c r="A7" s="47" t="s">
        <v>17</v>
      </c>
      <c r="B7" s="48" t="s">
        <v>33</v>
      </c>
      <c r="C7" s="6" t="s">
        <v>22</v>
      </c>
      <c r="D7" s="6" t="s">
        <v>23</v>
      </c>
      <c r="E7" s="6" t="s">
        <v>25</v>
      </c>
      <c r="F7" s="6" t="s">
        <v>24</v>
      </c>
      <c r="G7" s="6" t="s">
        <v>26</v>
      </c>
      <c r="H7" s="6" t="s">
        <v>27</v>
      </c>
      <c r="I7" s="6" t="s">
        <v>28</v>
      </c>
      <c r="J7" s="6" t="s">
        <v>29</v>
      </c>
      <c r="K7" s="50" t="s">
        <v>37</v>
      </c>
      <c r="L7" s="50" t="s">
        <v>38</v>
      </c>
      <c r="M7" s="50" t="s">
        <v>39</v>
      </c>
      <c r="N7" s="50" t="s">
        <v>41</v>
      </c>
      <c r="O7" s="50" t="s">
        <v>40</v>
      </c>
      <c r="P7" s="50" t="s">
        <v>42</v>
      </c>
      <c r="Q7" s="50" t="s">
        <v>43</v>
      </c>
      <c r="R7" s="50" t="s">
        <v>44</v>
      </c>
      <c r="S7" s="50" t="s">
        <v>45</v>
      </c>
      <c r="T7" s="50" t="s">
        <v>46</v>
      </c>
      <c r="U7" s="50" t="s">
        <v>47</v>
      </c>
    </row>
    <row r="8" spans="1:21" s="2" customFormat="1" ht="22" x14ac:dyDescent="0.3">
      <c r="A8" s="65" t="s">
        <v>34</v>
      </c>
      <c r="B8" s="65" t="s">
        <v>13</v>
      </c>
      <c r="C8" s="7">
        <v>2000</v>
      </c>
      <c r="D8" s="7">
        <v>0</v>
      </c>
      <c r="E8" s="7">
        <v>500</v>
      </c>
      <c r="F8" s="7">
        <v>500</v>
      </c>
      <c r="G8" s="7">
        <v>500</v>
      </c>
      <c r="H8" s="7">
        <v>500</v>
      </c>
      <c r="I8" s="7">
        <v>500</v>
      </c>
      <c r="J8" s="7">
        <v>500</v>
      </c>
      <c r="K8" s="66">
        <v>900</v>
      </c>
      <c r="L8" s="67">
        <v>1500</v>
      </c>
      <c r="M8" s="68">
        <v>2000</v>
      </c>
      <c r="N8" s="67">
        <v>2000</v>
      </c>
      <c r="O8" s="67">
        <v>2000</v>
      </c>
      <c r="P8" s="67">
        <v>2000</v>
      </c>
      <c r="Q8" s="67">
        <v>2000</v>
      </c>
      <c r="R8" s="67">
        <v>2000</v>
      </c>
      <c r="S8" s="67">
        <v>2000</v>
      </c>
      <c r="T8" s="67">
        <v>2000</v>
      </c>
      <c r="U8" s="67">
        <v>2000</v>
      </c>
    </row>
    <row r="9" spans="1:21" s="2" customFormat="1" ht="22" x14ac:dyDescent="0.3">
      <c r="A9" s="69" t="s">
        <v>34</v>
      </c>
      <c r="B9" s="69" t="s">
        <v>56</v>
      </c>
      <c r="C9" s="4"/>
      <c r="D9" s="4"/>
      <c r="E9" s="4"/>
      <c r="F9" s="4"/>
      <c r="G9" s="4"/>
      <c r="H9" s="4"/>
      <c r="I9" s="4"/>
      <c r="J9" s="4"/>
      <c r="K9" s="66">
        <v>-30</v>
      </c>
      <c r="L9" s="67">
        <v>-1319</v>
      </c>
      <c r="M9" s="68">
        <v>-4483</v>
      </c>
      <c r="N9" s="68">
        <v>-3866</v>
      </c>
      <c r="O9" s="67">
        <v>-2824</v>
      </c>
      <c r="P9" s="67">
        <v>-5447</v>
      </c>
      <c r="Q9" s="67">
        <v>-5447</v>
      </c>
      <c r="R9" s="67">
        <f t="shared" ref="R9:U9" si="0">Q16</f>
        <v>-7495.0310416666671</v>
      </c>
      <c r="S9" s="67">
        <v>-7900</v>
      </c>
      <c r="T9" s="67">
        <f t="shared" si="0"/>
        <v>-6010.270833333333</v>
      </c>
      <c r="U9" s="67">
        <f t="shared" si="0"/>
        <v>-4094.1641970486107</v>
      </c>
    </row>
    <row r="10" spans="1:21" s="3" customFormat="1" ht="22" x14ac:dyDescent="0.3">
      <c r="A10" s="70" t="s">
        <v>35</v>
      </c>
      <c r="B10" s="70" t="s">
        <v>102</v>
      </c>
      <c r="C10" s="14"/>
      <c r="D10" s="14"/>
      <c r="E10" s="14"/>
      <c r="F10" s="14"/>
      <c r="G10" s="14"/>
      <c r="H10" s="14"/>
      <c r="I10" s="14"/>
      <c r="J10" s="14"/>
      <c r="K10" s="71"/>
      <c r="L10" s="71">
        <f>IF(L9 &lt;= 0, (L9*$B$3)*-1, 0)</f>
        <v>18.411041666666669</v>
      </c>
      <c r="M10" s="71">
        <f t="shared" ref="M10:U10" si="1">IF(M9 &lt;= 0, (M9*$B$3)*-1, 0)</f>
        <v>62.575208333333343</v>
      </c>
      <c r="N10" s="71">
        <f t="shared" si="1"/>
        <v>53.962916666666672</v>
      </c>
      <c r="O10" s="71">
        <f t="shared" si="1"/>
        <v>39.418333333333337</v>
      </c>
      <c r="P10" s="71">
        <f>IF(P9 &lt;= 0, (P9*$B$3)*-1, 0)</f>
        <v>76.031041666666681</v>
      </c>
      <c r="Q10" s="71">
        <f>IF(Q9 &lt;= 0, (Q9*$B$3)*-1, 0)</f>
        <v>76.031041666666681</v>
      </c>
      <c r="R10" s="71">
        <f t="shared" si="1"/>
        <v>104.61814162326391</v>
      </c>
      <c r="S10" s="71">
        <f t="shared" si="1"/>
        <v>110.27083333333334</v>
      </c>
      <c r="T10" s="71">
        <f t="shared" si="1"/>
        <v>83.893363715277786</v>
      </c>
      <c r="U10" s="71">
        <f t="shared" si="1"/>
        <v>57.147708583803528</v>
      </c>
    </row>
    <row r="11" spans="1:21" s="3" customFormat="1" ht="22" x14ac:dyDescent="0.3">
      <c r="A11" s="70" t="s">
        <v>35</v>
      </c>
      <c r="B11" s="70" t="s">
        <v>103</v>
      </c>
      <c r="C11" s="14"/>
      <c r="D11" s="14"/>
      <c r="E11" s="14">
        <v>3550</v>
      </c>
      <c r="F11" s="14"/>
      <c r="G11" s="14"/>
      <c r="H11" s="14"/>
      <c r="I11" s="14"/>
      <c r="J11" s="14"/>
      <c r="K11" s="71">
        <v>3500</v>
      </c>
      <c r="L11" s="71">
        <v>0</v>
      </c>
      <c r="M11" s="71"/>
      <c r="N11" s="71"/>
      <c r="O11" s="71"/>
      <c r="P11" s="71"/>
      <c r="Q11" s="71">
        <v>3500</v>
      </c>
      <c r="R11" s="71"/>
      <c r="S11" s="71"/>
      <c r="T11" s="71"/>
      <c r="U11" s="71"/>
    </row>
    <row r="12" spans="1:21" s="3" customFormat="1" ht="22" hidden="1" x14ac:dyDescent="0.3">
      <c r="A12" s="70" t="s">
        <v>35</v>
      </c>
      <c r="B12" s="70" t="s">
        <v>104</v>
      </c>
      <c r="C12" s="14"/>
      <c r="D12" s="14"/>
      <c r="E12" s="14"/>
      <c r="F12" s="14"/>
      <c r="G12" s="14"/>
      <c r="H12" s="14"/>
      <c r="I12" s="14"/>
      <c r="J12" s="14"/>
      <c r="K12" s="72">
        <v>1600</v>
      </c>
      <c r="L12" s="71"/>
      <c r="M12" s="71"/>
      <c r="N12" s="71"/>
      <c r="O12" s="71"/>
      <c r="P12" s="71"/>
      <c r="Q12" s="71"/>
      <c r="R12" s="71"/>
      <c r="S12" s="71"/>
      <c r="T12" s="71"/>
      <c r="U12" s="71"/>
    </row>
    <row r="13" spans="1:21" s="3" customFormat="1" ht="22" x14ac:dyDescent="0.3">
      <c r="A13" s="70" t="s">
        <v>35</v>
      </c>
      <c r="B13" s="9" t="s">
        <v>14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71">
        <v>1000</v>
      </c>
      <c r="L13" s="71"/>
      <c r="M13" s="71"/>
      <c r="N13" s="71"/>
      <c r="O13" s="71"/>
      <c r="P13" s="71">
        <v>300</v>
      </c>
      <c r="Q13" s="71">
        <v>472</v>
      </c>
      <c r="R13" s="71"/>
      <c r="S13" s="71"/>
      <c r="T13" s="71"/>
      <c r="U13" s="71"/>
    </row>
    <row r="14" spans="1:21" s="3" customFormat="1" ht="22" x14ac:dyDescent="0.3">
      <c r="A14" s="70" t="s">
        <v>35</v>
      </c>
      <c r="B14" s="13" t="s">
        <v>105</v>
      </c>
      <c r="C14" s="14"/>
      <c r="D14" s="14"/>
      <c r="E14" s="14"/>
      <c r="F14" s="14"/>
      <c r="G14" s="14"/>
      <c r="H14" s="14"/>
      <c r="I14" s="14"/>
      <c r="J14" s="14"/>
      <c r="K14" s="71"/>
      <c r="L14" s="71">
        <v>1873</v>
      </c>
      <c r="M14" s="71"/>
      <c r="N14" s="71"/>
      <c r="O14" s="71"/>
      <c r="P14" s="71"/>
      <c r="Q14" s="71"/>
      <c r="R14" s="71"/>
      <c r="S14" s="71"/>
      <c r="T14" s="71"/>
      <c r="U14" s="71"/>
    </row>
    <row r="15" spans="1:21" s="3" customFormat="1" ht="22" x14ac:dyDescent="0.3">
      <c r="A15" s="70" t="s">
        <v>35</v>
      </c>
      <c r="B15" s="13" t="s">
        <v>0</v>
      </c>
      <c r="C15" s="14"/>
      <c r="D15" s="14"/>
      <c r="E15" s="14"/>
      <c r="F15" s="14"/>
      <c r="G15" s="14"/>
      <c r="H15" s="14"/>
      <c r="I15" s="14"/>
      <c r="J15" s="14"/>
      <c r="K15" s="71"/>
      <c r="L15" s="71">
        <v>2627</v>
      </c>
      <c r="M15" s="71"/>
      <c r="N15" s="71"/>
      <c r="O15" s="71"/>
      <c r="P15" s="71"/>
      <c r="Q15" s="71"/>
      <c r="R15" s="71"/>
      <c r="S15" s="71"/>
      <c r="T15" s="71"/>
      <c r="U15" s="71"/>
    </row>
    <row r="16" spans="1:21" ht="22" x14ac:dyDescent="0.3">
      <c r="A16" s="73" t="s">
        <v>48</v>
      </c>
      <c r="B16" s="73" t="s">
        <v>90</v>
      </c>
      <c r="C16" s="74">
        <f>SUMIF(bcc_1[[Movement]:[Movement]],"Credit", bcc_1[2024-05-01])-SUMIF(bcc_1[[Movement]:[Movement]],"Debit",bcc_1[2024-05-01])</f>
        <v>2000</v>
      </c>
      <c r="D16" s="74">
        <f>SUMIF(bcc_1[[Movement]:[Movement]],"Credit", bcc_1[2024-06-01])-SUMIF(bcc_1[[Movement]:[Movement]],"Debit",bcc_1[2024-06-01])</f>
        <v>0</v>
      </c>
      <c r="E16" s="74">
        <f>SUMIF(bcc_1[[Movement]:[Movement]],"Credit", bcc_1[2024-07-01])-SUMIF(bcc_1[[Movement]:[Movement]],"Debit",bcc_1[2024-07-01])</f>
        <v>-3050</v>
      </c>
      <c r="F16" s="74">
        <f>SUMIF(bcc_1[[Movement]:[Movement]],"Credit", bcc_1[2024-08-01])-SUMIF(bcc_1[[Movement]:[Movement]],"Debit",bcc_1[2024-08-01])</f>
        <v>500</v>
      </c>
      <c r="G16" s="74">
        <f>SUMIF(bcc_1[[Movement]:[Movement]],"Credit", bcc_1[2024-09-01])-SUMIF(bcc_1[[Movement]:[Movement]],"Debit",bcc_1[2024-09-01])</f>
        <v>500</v>
      </c>
      <c r="H16" s="74">
        <f>SUMIF(bcc_1[[Movement]:[Movement]],"Credit", bcc_1[2024-10-01])-SUMIF(bcc_1[[Movement]:[Movement]],"Debit",bcc_1[2024-10-01])</f>
        <v>500</v>
      </c>
      <c r="I16" s="74">
        <f>SUMIF(bcc_1[[Movement]:[Movement]],"Credit", bcc_1[2024-11-01])-SUMIF(bcc_1[[Movement]:[Movement]],"Debit",bcc_1[2024-11-01])</f>
        <v>500</v>
      </c>
      <c r="J16" s="74">
        <f>SUMIF(bcc_1[[Movement]:[Movement]],"Credit", bcc_1[2024-12-01])-SUMIF(bcc_1[[Movement]:[Movement]],"Debit",bcc_1[2024-12-01])</f>
        <v>500</v>
      </c>
      <c r="K16" s="5">
        <f>SUMIF(bcc_1[Movement], "Credit", bcc_1[2025-02-01]) - SUMIF(bcc_1[Movement], "Debit", bcc_1[2025-02-01])</f>
        <v>-5230</v>
      </c>
      <c r="L16" s="5">
        <f>SUMIF(bcc_1[Movement], "Credit", bcc_1[2025-03-01]) - SUMIF(bcc_1[Movement], "Debit", bcc_1[2025-03-01])</f>
        <v>-4337.4110416666663</v>
      </c>
      <c r="M16" s="5">
        <f>SUMIF(bcc_1[Movement], "Credit", bcc_1[2025-04-01]) - SUMIF(bcc_1[Movement], "Debit", bcc_1[2025-04-01])</f>
        <v>-2545.5752083333332</v>
      </c>
      <c r="N16" s="5">
        <f>SUMIF(bcc_1[Movement], "Credit", bcc_1[2025-05-01]) - SUMIF(bcc_1[Movement], "Debit", bcc_1[2025-05-01])</f>
        <v>-1919.9629166666666</v>
      </c>
      <c r="O16" s="5">
        <f>SUMIF(bcc_1[Movement], "Credit", bcc_1[2025-06-01]) - SUMIF(bcc_1[Movement], "Debit", bcc_1[2025-06-01])</f>
        <v>-863.41833333333329</v>
      </c>
      <c r="P16" s="5">
        <f>SUMIF(bcc_1[Movement], "Credit", bcc_1[2025-07-01]) - SUMIF(bcc_1[Movement], "Debit", bcc_1[2025-07-01])</f>
        <v>-3823.0310416666666</v>
      </c>
      <c r="Q16" s="5">
        <f>SUMIF(bcc_1[Movement], "Credit", bcc_1[2025-08-01]) - SUMIF(bcc_1[Movement], "Debit", bcc_1[2025-08-01])</f>
        <v>-7495.0310416666671</v>
      </c>
      <c r="R16" s="5">
        <f>SUMIF(bcc_1[Movement], "Credit", bcc_1[2025-09-01]) - SUMIF(bcc_1[Movement], "Debit", bcc_1[2025-09-01])</f>
        <v>-5599.649183289931</v>
      </c>
      <c r="S16" s="5">
        <f>SUMIF(bcc_1[Movement], "Credit", bcc_1[2025-10-01]) - SUMIF(bcc_1[Movement], "Debit", bcc_1[2025-10-01])</f>
        <v>-6010.270833333333</v>
      </c>
      <c r="T16" s="5">
        <f>SUMIF(bcc_1[Movement], "Credit", bcc_1[2025-11-01]) - SUMIF(bcc_1[Movement], "Debit", bcc_1[2025-11-01])</f>
        <v>-4094.1641970486107</v>
      </c>
      <c r="U16" s="5">
        <f>SUMIF(bcc_1[Movement], "Credit", bcc_1[2025-12-01]) - SUMIF(bcc_1[Movement], "Debit", bcc_1[2025-12-01])</f>
        <v>-2151.3119056324144</v>
      </c>
    </row>
    <row r="17" spans="1:21" ht="22" x14ac:dyDescent="0.3">
      <c r="A17" s="73" t="s">
        <v>106</v>
      </c>
      <c r="B17" s="73" t="s">
        <v>90</v>
      </c>
      <c r="C17" s="5"/>
      <c r="D17" s="5"/>
      <c r="E17" s="5"/>
      <c r="F17" s="5"/>
      <c r="G17" s="5"/>
      <c r="H17" s="5"/>
      <c r="I17" s="5"/>
      <c r="J17" s="5"/>
      <c r="K17" s="75">
        <f>SUMIF(bcc_1[Movement], "Debit", bcc_1[2025-02-01])</f>
        <v>6100</v>
      </c>
      <c r="L17" s="75">
        <f>SUMIF(bcc_1[Movement], "Debit", bcc_1[2025-03-01])</f>
        <v>4518.4110416666663</v>
      </c>
      <c r="M17" s="75">
        <f>SUMIF(bcc_1[Movement], "Debit", bcc_1[2025-04-01])</f>
        <v>62.575208333333343</v>
      </c>
      <c r="N17" s="75">
        <f>SUMIF(bcc_1[Movement], "Debit", bcc_1[2025-05-01])</f>
        <v>53.962916666666672</v>
      </c>
      <c r="O17" s="75">
        <f>SUMIF(bcc_1[Movement], "Debit", bcc_1[2025-06-01])</f>
        <v>39.418333333333337</v>
      </c>
      <c r="P17" s="75">
        <f>SUMIF(bcc_1[Movement], "Debit", bcc_1[2025-07-01])</f>
        <v>376.03104166666668</v>
      </c>
      <c r="Q17" s="75">
        <f>SUMIF(bcc_1[Movement], "Debit", bcc_1[2025-08-01])</f>
        <v>4048.0310416666666</v>
      </c>
      <c r="R17" s="75">
        <f>SUMIF(bcc_1[Movement], "Debit", bcc_1[2025-09-01])</f>
        <v>104.61814162326391</v>
      </c>
      <c r="S17" s="75">
        <f>SUMIF(bcc_1[Movement], "Debit", bcc_1[2025-10-01])</f>
        <v>110.27083333333334</v>
      </c>
      <c r="T17" s="75">
        <f>SUMIF(bcc_1[Movement], "Debit", bcc_1[2025-11-01])</f>
        <v>83.893363715277786</v>
      </c>
      <c r="U17" s="75">
        <f>SUMIF(bcc_1[Movement], "Debit", bcc_1[2025-12-01])</f>
        <v>57.147708583803528</v>
      </c>
    </row>
  </sheetData>
  <conditionalFormatting sqref="A16:XFD16">
    <cfRule type="cellIs" dxfId="31" priority="1" operator="lessThan">
      <formula>0</formula>
    </cfRule>
    <cfRule type="cellIs" dxfId="30" priority="2" stopIfTrue="1" operator="greaterThan">
      <formula>0</formula>
    </cfRule>
  </conditionalFormatting>
  <pageMargins left="0.7" right="0.7" top="0.75" bottom="0.75" header="0.3" footer="0.3"/>
  <pageSetup paperSize="9" orientation="portrait" horizontalDpi="0" verticalDpi="0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B343B-0ADD-F247-ADB1-752BA9B5E4D2}">
  <dimension ref="A1:DP55"/>
  <sheetViews>
    <sheetView showGridLines="0" zoomScale="137" workbookViewId="0">
      <selection activeCell="Q15" sqref="Q15"/>
    </sheetView>
  </sheetViews>
  <sheetFormatPr baseColWidth="10" defaultRowHeight="16" x14ac:dyDescent="0.2"/>
  <cols>
    <col min="1" max="1" width="18.33203125" customWidth="1"/>
    <col min="2" max="2" width="18" customWidth="1"/>
    <col min="3" max="4" width="15.1640625" style="1" customWidth="1"/>
    <col min="5" max="6" width="15.1640625" customWidth="1"/>
    <col min="7" max="7" width="21" customWidth="1"/>
    <col min="8" max="8" width="15.1640625" customWidth="1"/>
    <col min="9" max="9" width="17.1640625" customWidth="1"/>
    <col min="10" max="10" width="15.1640625" customWidth="1"/>
    <col min="11" max="11" width="15.83203125" customWidth="1"/>
    <col min="12" max="12" width="10.83203125" customWidth="1"/>
    <col min="13" max="22" width="16.83203125" customWidth="1"/>
    <col min="23" max="23" width="40.5" customWidth="1"/>
    <col min="24" max="24" width="18.1640625" customWidth="1"/>
    <col min="25" max="25" width="12.33203125" customWidth="1"/>
    <col min="26" max="26" width="16.33203125" customWidth="1"/>
    <col min="35" max="35" width="13.1640625" customWidth="1"/>
    <col min="38" max="38" width="17.33203125" bestFit="1" customWidth="1"/>
    <col min="39" max="39" width="20" bestFit="1" customWidth="1"/>
    <col min="40" max="40" width="14" bestFit="1" customWidth="1"/>
    <col min="41" max="41" width="17.33203125" bestFit="1" customWidth="1"/>
    <col min="42" max="42" width="19.1640625" bestFit="1" customWidth="1"/>
  </cols>
  <sheetData>
    <row r="1" spans="1:120" ht="17" thickBot="1" x14ac:dyDescent="0.25">
      <c r="A1" t="s">
        <v>107</v>
      </c>
      <c r="B1" s="98" t="s">
        <v>200</v>
      </c>
      <c r="C1" s="98" t="s">
        <v>201</v>
      </c>
      <c r="D1" s="98" t="s">
        <v>202</v>
      </c>
      <c r="E1" s="98" t="s">
        <v>203</v>
      </c>
      <c r="F1" t="s">
        <v>204</v>
      </c>
      <c r="G1" t="s">
        <v>205</v>
      </c>
      <c r="H1" t="s">
        <v>212</v>
      </c>
      <c r="I1" t="s">
        <v>206</v>
      </c>
      <c r="J1">
        <v>0.04</v>
      </c>
      <c r="Q1" s="50"/>
      <c r="R1" s="50"/>
      <c r="S1" s="50"/>
      <c r="T1" s="50"/>
      <c r="U1" s="50"/>
      <c r="V1" s="50"/>
      <c r="W1" s="50"/>
      <c r="X1" s="50"/>
    </row>
    <row r="2" spans="1:120" s="2" customFormat="1" ht="22" x14ac:dyDescent="0.3">
      <c r="A2" s="110">
        <v>45839</v>
      </c>
      <c r="B2" s="111">
        <v>3000</v>
      </c>
      <c r="C2" s="111"/>
      <c r="D2" s="111">
        <f>SUM(B2:C2)</f>
        <v>3000</v>
      </c>
      <c r="E2" s="111"/>
      <c r="F2" s="112">
        <f>SUM(B2:C2)-E2</f>
        <v>3000</v>
      </c>
      <c r="G2" s="112">
        <f>F2*(1+$J$2)</f>
        <v>3010.0000000000005</v>
      </c>
      <c r="H2" s="112"/>
      <c r="I2" t="s">
        <v>207</v>
      </c>
      <c r="J2">
        <f>J1/12</f>
        <v>3.3333333333333335E-3</v>
      </c>
      <c r="K2"/>
      <c r="L2"/>
      <c r="M2"/>
      <c r="N2" t="s">
        <v>114</v>
      </c>
      <c r="O2" s="113" t="s">
        <v>113</v>
      </c>
      <c r="P2" s="113"/>
      <c r="Q2" s="113"/>
      <c r="R2" s="113"/>
      <c r="S2" s="114" t="s">
        <v>214</v>
      </c>
      <c r="T2" s="114"/>
      <c r="U2" s="114"/>
      <c r="V2" s="78"/>
      <c r="W2" s="8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</row>
    <row r="3" spans="1:120" s="2" customFormat="1" ht="22" x14ac:dyDescent="0.3">
      <c r="A3" s="110">
        <v>45870</v>
      </c>
      <c r="B3" s="111"/>
      <c r="C3" s="111"/>
      <c r="D3" s="111">
        <f t="shared" ref="D3:D52" si="0">SUM(B3:C3)</f>
        <v>0</v>
      </c>
      <c r="E3" s="111"/>
      <c r="F3" s="112">
        <f>SUM(B3:C3)-E3+F2</f>
        <v>3000</v>
      </c>
      <c r="G3" s="112">
        <f t="shared" ref="G3:G55" si="1">F3*(1+$J$2)</f>
        <v>3010.0000000000005</v>
      </c>
      <c r="H3" s="112"/>
      <c r="I3"/>
      <c r="J3"/>
      <c r="K3"/>
      <c r="L3"/>
      <c r="M3"/>
      <c r="N3"/>
      <c r="O3" t="s">
        <v>108</v>
      </c>
      <c r="P3" t="s">
        <v>107</v>
      </c>
      <c r="Q3" t="s">
        <v>110</v>
      </c>
      <c r="R3" t="s">
        <v>109</v>
      </c>
      <c r="S3" t="s">
        <v>111</v>
      </c>
      <c r="T3" t="s">
        <v>112</v>
      </c>
      <c r="U3" t="s">
        <v>213</v>
      </c>
      <c r="V3" t="s">
        <v>211</v>
      </c>
      <c r="W3" s="106" t="s">
        <v>210</v>
      </c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</row>
    <row r="4" spans="1:120" s="3" customFormat="1" x14ac:dyDescent="0.2">
      <c r="A4" s="110">
        <v>45901</v>
      </c>
      <c r="B4" s="111"/>
      <c r="C4" s="111">
        <v>1500</v>
      </c>
      <c r="D4" s="111">
        <f t="shared" si="0"/>
        <v>1500</v>
      </c>
      <c r="E4" s="111"/>
      <c r="F4" s="112">
        <f t="shared" ref="F4:F55" si="2">SUM(B4:C4)-E4+F3</f>
        <v>4500</v>
      </c>
      <c r="G4" s="112">
        <f t="shared" si="1"/>
        <v>4515</v>
      </c>
      <c r="H4" s="112" t="s">
        <v>115</v>
      </c>
      <c r="I4"/>
      <c r="J4"/>
      <c r="K4"/>
      <c r="L4"/>
      <c r="M4"/>
      <c r="N4"/>
      <c r="O4" s="79">
        <v>1</v>
      </c>
      <c r="P4" s="100">
        <v>45809</v>
      </c>
      <c r="Q4" s="79">
        <v>1500</v>
      </c>
      <c r="R4" s="79">
        <v>1500</v>
      </c>
      <c r="S4" s="77">
        <v>1500</v>
      </c>
      <c r="T4" s="77">
        <v>1500</v>
      </c>
      <c r="U4" s="77">
        <f t="shared" ref="U4:U24" si="3">T4-R4</f>
        <v>0</v>
      </c>
      <c r="V4" s="108">
        <v>45804</v>
      </c>
      <c r="W4" s="107" t="s">
        <v>209</v>
      </c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</row>
    <row r="5" spans="1:120" s="3" customFormat="1" ht="22" x14ac:dyDescent="0.3">
      <c r="A5" s="110">
        <v>45931</v>
      </c>
      <c r="B5" s="111">
        <v>1500</v>
      </c>
      <c r="C5" s="111">
        <v>2000</v>
      </c>
      <c r="D5" s="111">
        <f t="shared" si="0"/>
        <v>3500</v>
      </c>
      <c r="E5" s="111"/>
      <c r="F5" s="112">
        <f t="shared" si="2"/>
        <v>8000</v>
      </c>
      <c r="G5" s="112">
        <f t="shared" si="1"/>
        <v>8026.666666666667</v>
      </c>
      <c r="H5" s="112"/>
      <c r="I5"/>
      <c r="J5"/>
      <c r="K5"/>
      <c r="L5"/>
      <c r="M5"/>
      <c r="N5"/>
      <c r="O5" s="79">
        <v>2</v>
      </c>
      <c r="P5" s="100">
        <v>45839</v>
      </c>
      <c r="Q5" s="79">
        <v>1500</v>
      </c>
      <c r="R5" s="79">
        <f t="shared" ref="R5:R24" si="4">R4+Q5</f>
        <v>3000</v>
      </c>
      <c r="S5" s="77">
        <v>1500</v>
      </c>
      <c r="T5" s="77">
        <f>(T4+Table510[[#This Row],[amount Paid]])</f>
        <v>3000</v>
      </c>
      <c r="U5" s="103">
        <f t="shared" si="3"/>
        <v>0</v>
      </c>
      <c r="V5" s="109">
        <v>45845</v>
      </c>
      <c r="W5" s="104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</row>
    <row r="6" spans="1:120" s="3" customFormat="1" ht="22" x14ac:dyDescent="0.3">
      <c r="A6" s="110">
        <v>45962</v>
      </c>
      <c r="B6" s="111">
        <v>1500</v>
      </c>
      <c r="C6" s="111">
        <v>2000</v>
      </c>
      <c r="D6" s="111">
        <f t="shared" si="0"/>
        <v>3500</v>
      </c>
      <c r="E6" s="111"/>
      <c r="F6" s="112">
        <f t="shared" si="2"/>
        <v>11500</v>
      </c>
      <c r="G6" s="112">
        <f t="shared" si="1"/>
        <v>11538.333333333334</v>
      </c>
      <c r="H6" s="112"/>
      <c r="I6"/>
      <c r="J6"/>
      <c r="K6"/>
      <c r="L6"/>
      <c r="M6"/>
      <c r="N6"/>
      <c r="O6" s="99">
        <v>3</v>
      </c>
      <c r="P6" s="100">
        <v>45870</v>
      </c>
      <c r="Q6" s="99">
        <v>1500</v>
      </c>
      <c r="R6" s="99">
        <f t="shared" si="4"/>
        <v>4500</v>
      </c>
      <c r="S6" s="101">
        <v>0</v>
      </c>
      <c r="T6" s="101">
        <f>(T5+Table510[[#This Row],[amount Paid]])</f>
        <v>3000</v>
      </c>
      <c r="U6" s="84">
        <f t="shared" si="3"/>
        <v>-1500</v>
      </c>
      <c r="V6" s="84"/>
      <c r="W6" s="104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</row>
    <row r="7" spans="1:120" s="11" customFormat="1" ht="22" x14ac:dyDescent="0.3">
      <c r="A7" s="110">
        <v>45992</v>
      </c>
      <c r="B7" s="111">
        <v>1500</v>
      </c>
      <c r="C7" s="111">
        <v>2000</v>
      </c>
      <c r="D7" s="111">
        <f t="shared" si="0"/>
        <v>3500</v>
      </c>
      <c r="E7" s="111"/>
      <c r="F7" s="112">
        <f t="shared" si="2"/>
        <v>15000</v>
      </c>
      <c r="G7" s="112">
        <f t="shared" si="1"/>
        <v>15050.000000000002</v>
      </c>
      <c r="H7" s="112"/>
      <c r="I7"/>
      <c r="J7"/>
      <c r="K7"/>
      <c r="L7"/>
      <c r="M7"/>
      <c r="N7" s="85" t="s">
        <v>115</v>
      </c>
      <c r="O7" s="99">
        <v>4</v>
      </c>
      <c r="P7" s="100">
        <v>45901</v>
      </c>
      <c r="Q7" s="99">
        <v>1500</v>
      </c>
      <c r="R7" s="99">
        <f t="shared" si="4"/>
        <v>6000</v>
      </c>
      <c r="S7" s="101">
        <v>0</v>
      </c>
      <c r="T7" s="101">
        <f>(T6+Table510[[#This Row],[amount Paid]])</f>
        <v>3000</v>
      </c>
      <c r="U7" s="84">
        <f t="shared" si="3"/>
        <v>-3000</v>
      </c>
      <c r="V7" s="84"/>
      <c r="W7" s="104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</row>
    <row r="8" spans="1:120" s="11" customFormat="1" ht="22" x14ac:dyDescent="0.3">
      <c r="A8" s="110">
        <v>46023</v>
      </c>
      <c r="B8" s="111">
        <v>1500</v>
      </c>
      <c r="C8" s="111">
        <v>2000</v>
      </c>
      <c r="D8" s="111">
        <f t="shared" si="0"/>
        <v>3500</v>
      </c>
      <c r="E8" s="111"/>
      <c r="F8" s="112">
        <f t="shared" si="2"/>
        <v>18500</v>
      </c>
      <c r="G8" s="112">
        <f t="shared" si="1"/>
        <v>18561.666666666668</v>
      </c>
      <c r="H8" s="112"/>
      <c r="I8"/>
      <c r="J8"/>
      <c r="K8"/>
      <c r="L8"/>
      <c r="M8"/>
      <c r="N8"/>
      <c r="O8" s="116">
        <v>5</v>
      </c>
      <c r="P8" s="117">
        <v>45931</v>
      </c>
      <c r="Q8" s="116">
        <v>1500</v>
      </c>
      <c r="R8" s="116">
        <f t="shared" si="4"/>
        <v>7500</v>
      </c>
      <c r="S8" s="118">
        <v>0</v>
      </c>
      <c r="T8" s="118">
        <f>(T7+Table510[[#This Row],[amount Paid]])</f>
        <v>3000</v>
      </c>
      <c r="U8" s="118">
        <f t="shared" si="3"/>
        <v>-4500</v>
      </c>
      <c r="V8" s="118"/>
      <c r="W8" s="104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</row>
    <row r="9" spans="1:120" s="3" customFormat="1" ht="22" x14ac:dyDescent="0.3">
      <c r="A9" s="110">
        <v>46054</v>
      </c>
      <c r="B9" s="111">
        <v>1500</v>
      </c>
      <c r="C9" s="111">
        <v>2000</v>
      </c>
      <c r="D9" s="111">
        <f t="shared" si="0"/>
        <v>3500</v>
      </c>
      <c r="E9" s="111"/>
      <c r="F9" s="112">
        <f t="shared" si="2"/>
        <v>22000</v>
      </c>
      <c r="G9" s="112">
        <f t="shared" si="1"/>
        <v>22073.333333333336</v>
      </c>
      <c r="H9" s="112"/>
      <c r="I9"/>
      <c r="J9"/>
      <c r="K9"/>
      <c r="L9"/>
      <c r="M9"/>
      <c r="N9" s="80"/>
      <c r="O9" s="81">
        <v>6</v>
      </c>
      <c r="P9" s="82">
        <v>45962</v>
      </c>
      <c r="Q9" s="81">
        <v>1500</v>
      </c>
      <c r="R9" s="81">
        <f t="shared" si="4"/>
        <v>9000</v>
      </c>
      <c r="S9" s="83">
        <v>0</v>
      </c>
      <c r="T9" s="83">
        <f>(T8+Table510[[#This Row],[amount Paid]])</f>
        <v>3000</v>
      </c>
      <c r="U9" s="83">
        <f t="shared" si="3"/>
        <v>-6000</v>
      </c>
      <c r="V9" s="83"/>
      <c r="W9" s="104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20" s="3" customFormat="1" ht="22" x14ac:dyDescent="0.3">
      <c r="A10" s="110">
        <v>46082</v>
      </c>
      <c r="B10" s="111">
        <v>1500</v>
      </c>
      <c r="C10" s="111">
        <v>2000</v>
      </c>
      <c r="D10" s="111">
        <f t="shared" si="0"/>
        <v>3500</v>
      </c>
      <c r="E10" s="111"/>
      <c r="F10" s="112">
        <f t="shared" si="2"/>
        <v>25500</v>
      </c>
      <c r="G10" s="112">
        <f t="shared" si="1"/>
        <v>25585.000000000004</v>
      </c>
      <c r="H10" s="112"/>
      <c r="I10"/>
      <c r="J10"/>
      <c r="K10"/>
      <c r="L10"/>
      <c r="M10"/>
      <c r="N10" s="80"/>
      <c r="O10" s="81">
        <v>7</v>
      </c>
      <c r="P10" s="82">
        <v>45992</v>
      </c>
      <c r="Q10" s="81">
        <v>1500</v>
      </c>
      <c r="R10" s="81">
        <f t="shared" si="4"/>
        <v>10500</v>
      </c>
      <c r="S10" s="83">
        <v>0</v>
      </c>
      <c r="T10" s="83">
        <f>(T9+Table510[[#This Row],[amount Paid]])</f>
        <v>3000</v>
      </c>
      <c r="U10" s="83">
        <f t="shared" si="3"/>
        <v>-7500</v>
      </c>
      <c r="V10" s="83"/>
      <c r="W10" s="104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20" s="3" customFormat="1" ht="22" x14ac:dyDescent="0.3">
      <c r="A11" s="110">
        <v>46113</v>
      </c>
      <c r="B11" s="111">
        <v>1500</v>
      </c>
      <c r="C11" s="111">
        <v>2000</v>
      </c>
      <c r="D11" s="111">
        <f t="shared" si="0"/>
        <v>3500</v>
      </c>
      <c r="E11" s="111">
        <v>10000</v>
      </c>
      <c r="F11" s="112">
        <f t="shared" si="2"/>
        <v>19000</v>
      </c>
      <c r="G11" s="112">
        <f t="shared" si="1"/>
        <v>19063.333333333336</v>
      </c>
      <c r="H11" s="112"/>
      <c r="I11"/>
      <c r="J11"/>
      <c r="K11"/>
      <c r="L11"/>
      <c r="M11"/>
      <c r="N11" s="80"/>
      <c r="O11" s="81">
        <v>8</v>
      </c>
      <c r="P11" s="82">
        <v>46023</v>
      </c>
      <c r="Q11" s="81">
        <v>1500</v>
      </c>
      <c r="R11" s="81">
        <f t="shared" si="4"/>
        <v>12000</v>
      </c>
      <c r="S11" s="83">
        <v>0</v>
      </c>
      <c r="T11" s="83">
        <f>(T10+Table510[[#This Row],[amount Paid]])</f>
        <v>3000</v>
      </c>
      <c r="U11" s="83">
        <f t="shared" si="3"/>
        <v>-9000</v>
      </c>
      <c r="V11" s="83"/>
      <c r="W11" s="104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20" s="3" customFormat="1" ht="22" x14ac:dyDescent="0.3">
      <c r="A12" s="110">
        <v>46143</v>
      </c>
      <c r="B12" s="111">
        <v>1500</v>
      </c>
      <c r="C12" s="111">
        <v>2000</v>
      </c>
      <c r="D12" s="111">
        <f t="shared" si="0"/>
        <v>3500</v>
      </c>
      <c r="E12" s="111">
        <v>2000</v>
      </c>
      <c r="F12" s="112">
        <f t="shared" si="2"/>
        <v>20500</v>
      </c>
      <c r="G12" s="112">
        <f t="shared" si="1"/>
        <v>20568.333333333336</v>
      </c>
      <c r="H12" s="112"/>
      <c r="I12"/>
      <c r="J12"/>
      <c r="K12"/>
      <c r="L12"/>
      <c r="M12"/>
      <c r="N12" s="80"/>
      <c r="O12" s="81">
        <v>9</v>
      </c>
      <c r="P12" s="82">
        <v>46054</v>
      </c>
      <c r="Q12" s="81">
        <v>1500</v>
      </c>
      <c r="R12" s="81">
        <f t="shared" si="4"/>
        <v>13500</v>
      </c>
      <c r="S12" s="83">
        <v>0</v>
      </c>
      <c r="T12" s="83">
        <f>(T11+Table510[[#This Row],[amount Paid]])</f>
        <v>3000</v>
      </c>
      <c r="U12" s="83">
        <f t="shared" si="3"/>
        <v>-10500</v>
      </c>
      <c r="V12" s="83"/>
      <c r="W12" s="104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20" s="3" customFormat="1" ht="22" x14ac:dyDescent="0.3">
      <c r="A13" s="110">
        <v>46174</v>
      </c>
      <c r="B13" s="111">
        <v>1500</v>
      </c>
      <c r="C13" s="111">
        <v>2000</v>
      </c>
      <c r="D13" s="111">
        <f t="shared" si="0"/>
        <v>3500</v>
      </c>
      <c r="E13" s="111">
        <v>2000</v>
      </c>
      <c r="F13" s="112">
        <f t="shared" si="2"/>
        <v>22000</v>
      </c>
      <c r="G13" s="112">
        <f t="shared" si="1"/>
        <v>22073.333333333336</v>
      </c>
      <c r="H13" s="112"/>
      <c r="I13"/>
      <c r="J13"/>
      <c r="K13"/>
      <c r="L13"/>
      <c r="M13"/>
      <c r="N13" s="80"/>
      <c r="O13" s="81">
        <v>10</v>
      </c>
      <c r="P13" s="82">
        <v>46082</v>
      </c>
      <c r="Q13" s="81">
        <v>1500</v>
      </c>
      <c r="R13" s="81">
        <f t="shared" si="4"/>
        <v>15000</v>
      </c>
      <c r="S13" s="83">
        <v>0</v>
      </c>
      <c r="T13" s="83">
        <f>(T12+Table510[[#This Row],[amount Paid]])</f>
        <v>3000</v>
      </c>
      <c r="U13" s="83">
        <f t="shared" si="3"/>
        <v>-12000</v>
      </c>
      <c r="V13" s="83"/>
      <c r="W13" s="104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20" s="3" customFormat="1" ht="22" x14ac:dyDescent="0.3">
      <c r="A14" s="110">
        <v>46204</v>
      </c>
      <c r="B14" s="111">
        <v>1500</v>
      </c>
      <c r="C14" s="111">
        <v>2000</v>
      </c>
      <c r="D14" s="111">
        <f t="shared" si="0"/>
        <v>3500</v>
      </c>
      <c r="E14" s="111">
        <v>2000</v>
      </c>
      <c r="F14" s="112">
        <f t="shared" si="2"/>
        <v>23500</v>
      </c>
      <c r="G14" s="112">
        <f t="shared" si="1"/>
        <v>23578.333333333336</v>
      </c>
      <c r="H14" s="112"/>
      <c r="I14"/>
      <c r="J14"/>
      <c r="K14"/>
      <c r="L14"/>
      <c r="M14"/>
      <c r="N14" s="80"/>
      <c r="O14" s="81">
        <v>11</v>
      </c>
      <c r="P14" s="82">
        <v>46113</v>
      </c>
      <c r="Q14" s="81">
        <v>1500</v>
      </c>
      <c r="R14" s="81">
        <f t="shared" si="4"/>
        <v>16500</v>
      </c>
      <c r="S14" s="83">
        <v>0</v>
      </c>
      <c r="T14" s="83">
        <f>(T13+Table510[[#This Row],[amount Paid]])</f>
        <v>3000</v>
      </c>
      <c r="U14" s="83">
        <f t="shared" si="3"/>
        <v>-13500</v>
      </c>
      <c r="V14" s="83"/>
      <c r="W14" s="10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20" s="64" customFormat="1" ht="22" x14ac:dyDescent="0.3">
      <c r="A15" s="110">
        <v>46235</v>
      </c>
      <c r="B15" s="111">
        <v>1500</v>
      </c>
      <c r="C15" s="111">
        <v>2000</v>
      </c>
      <c r="D15" s="111">
        <f t="shared" si="0"/>
        <v>3500</v>
      </c>
      <c r="E15" s="111">
        <v>2000</v>
      </c>
      <c r="F15" s="112">
        <f t="shared" si="2"/>
        <v>25000</v>
      </c>
      <c r="G15" s="112">
        <f t="shared" si="1"/>
        <v>25083.333333333336</v>
      </c>
      <c r="H15" s="112"/>
      <c r="I15"/>
      <c r="J15"/>
      <c r="K15"/>
      <c r="L15"/>
      <c r="M15"/>
      <c r="N15" s="80"/>
      <c r="O15" s="81">
        <v>12</v>
      </c>
      <c r="P15" s="82">
        <v>46143</v>
      </c>
      <c r="Q15" s="81">
        <v>1500</v>
      </c>
      <c r="R15" s="81">
        <f t="shared" si="4"/>
        <v>18000</v>
      </c>
      <c r="S15" s="83">
        <v>0</v>
      </c>
      <c r="T15" s="83">
        <f>(T14+Table510[[#This Row],[amount Paid]])</f>
        <v>3000</v>
      </c>
      <c r="U15" s="83">
        <f t="shared" si="3"/>
        <v>-15000</v>
      </c>
      <c r="V15" s="83"/>
      <c r="W15" s="10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20" x14ac:dyDescent="0.2">
      <c r="A16" s="110">
        <v>46266</v>
      </c>
      <c r="B16" s="111">
        <v>1500</v>
      </c>
      <c r="C16" s="111">
        <v>2000</v>
      </c>
      <c r="D16" s="111">
        <f t="shared" si="0"/>
        <v>3500</v>
      </c>
      <c r="E16" s="111">
        <v>2000</v>
      </c>
      <c r="F16" s="112">
        <f t="shared" si="2"/>
        <v>26500</v>
      </c>
      <c r="G16" s="112">
        <f t="shared" si="1"/>
        <v>26588.333333333336</v>
      </c>
      <c r="H16" s="112"/>
      <c r="N16" s="80"/>
      <c r="O16" s="81">
        <v>13</v>
      </c>
      <c r="P16" s="82">
        <v>46174</v>
      </c>
      <c r="Q16" s="81">
        <v>1500</v>
      </c>
      <c r="R16" s="81">
        <f t="shared" si="4"/>
        <v>19500</v>
      </c>
      <c r="S16" s="83">
        <v>0</v>
      </c>
      <c r="T16" s="83">
        <f>(T15+Table510[[#This Row],[amount Paid]])</f>
        <v>3000</v>
      </c>
      <c r="U16" s="83">
        <f t="shared" si="3"/>
        <v>-16500</v>
      </c>
      <c r="V16" s="83"/>
      <c r="W16" s="77"/>
    </row>
    <row r="17" spans="1:42" x14ac:dyDescent="0.2">
      <c r="A17" s="110">
        <v>46296</v>
      </c>
      <c r="B17" s="111">
        <v>1500</v>
      </c>
      <c r="C17" s="111">
        <v>2000</v>
      </c>
      <c r="D17" s="111">
        <f t="shared" si="0"/>
        <v>3500</v>
      </c>
      <c r="E17" s="111">
        <v>2000</v>
      </c>
      <c r="F17" s="112">
        <f t="shared" si="2"/>
        <v>28000</v>
      </c>
      <c r="G17" s="112">
        <f t="shared" si="1"/>
        <v>28093.333333333336</v>
      </c>
      <c r="H17" s="112"/>
      <c r="N17" s="80"/>
      <c r="O17" s="81">
        <v>14</v>
      </c>
      <c r="P17" s="82">
        <v>46204</v>
      </c>
      <c r="Q17" s="81">
        <v>1500</v>
      </c>
      <c r="R17" s="81">
        <f t="shared" si="4"/>
        <v>21000</v>
      </c>
      <c r="S17" s="83">
        <v>0</v>
      </c>
      <c r="T17" s="83">
        <f>(T16+Table510[[#This Row],[amount Paid]])</f>
        <v>3000</v>
      </c>
      <c r="U17" s="83">
        <f t="shared" si="3"/>
        <v>-18000</v>
      </c>
      <c r="V17" s="83"/>
      <c r="W17" s="77"/>
    </row>
    <row r="18" spans="1:42" x14ac:dyDescent="0.2">
      <c r="A18" s="110">
        <v>46327</v>
      </c>
      <c r="B18" s="111">
        <v>1500</v>
      </c>
      <c r="C18" s="111">
        <v>2000</v>
      </c>
      <c r="D18" s="111">
        <f t="shared" si="0"/>
        <v>3500</v>
      </c>
      <c r="E18" s="111">
        <v>2000</v>
      </c>
      <c r="F18" s="112">
        <f t="shared" si="2"/>
        <v>29500</v>
      </c>
      <c r="G18" s="112">
        <f t="shared" si="1"/>
        <v>29598.333333333336</v>
      </c>
      <c r="H18" s="112"/>
      <c r="N18" s="80"/>
      <c r="O18" s="81">
        <v>15</v>
      </c>
      <c r="P18" s="82">
        <v>46235</v>
      </c>
      <c r="Q18" s="81">
        <v>1500</v>
      </c>
      <c r="R18" s="81">
        <f t="shared" si="4"/>
        <v>22500</v>
      </c>
      <c r="S18" s="83">
        <v>0</v>
      </c>
      <c r="T18" s="83">
        <f>(T17+Table510[[#This Row],[amount Paid]])</f>
        <v>3000</v>
      </c>
      <c r="U18" s="83">
        <f t="shared" si="3"/>
        <v>-19500</v>
      </c>
      <c r="V18" s="83"/>
      <c r="W18" s="77"/>
    </row>
    <row r="19" spans="1:42" x14ac:dyDescent="0.2">
      <c r="A19" s="110">
        <v>46357</v>
      </c>
      <c r="B19" s="111">
        <v>1500</v>
      </c>
      <c r="C19" s="111">
        <v>2000</v>
      </c>
      <c r="D19" s="111">
        <f t="shared" si="0"/>
        <v>3500</v>
      </c>
      <c r="E19" s="111">
        <v>2000</v>
      </c>
      <c r="F19" s="112">
        <f t="shared" si="2"/>
        <v>31000</v>
      </c>
      <c r="G19" s="112">
        <f t="shared" si="1"/>
        <v>31103.333333333336</v>
      </c>
      <c r="H19" s="112"/>
      <c r="N19" s="80"/>
      <c r="O19" s="81">
        <v>16</v>
      </c>
      <c r="P19" s="82">
        <v>46266</v>
      </c>
      <c r="Q19" s="81">
        <v>1500</v>
      </c>
      <c r="R19" s="81">
        <f t="shared" si="4"/>
        <v>24000</v>
      </c>
      <c r="S19" s="83">
        <v>0</v>
      </c>
      <c r="T19" s="83">
        <f>(T18+Table510[[#This Row],[amount Paid]])</f>
        <v>3000</v>
      </c>
      <c r="U19" s="83">
        <f t="shared" si="3"/>
        <v>-21000</v>
      </c>
      <c r="V19" s="83"/>
      <c r="W19" s="77"/>
    </row>
    <row r="20" spans="1:42" x14ac:dyDescent="0.2">
      <c r="A20" s="110">
        <v>46388</v>
      </c>
      <c r="B20" s="111">
        <v>0</v>
      </c>
      <c r="C20" s="111">
        <v>2000</v>
      </c>
      <c r="D20" s="111">
        <f t="shared" si="0"/>
        <v>2000</v>
      </c>
      <c r="E20" s="111">
        <v>2500</v>
      </c>
      <c r="F20" s="112">
        <f t="shared" si="2"/>
        <v>30500</v>
      </c>
      <c r="G20" s="112">
        <f t="shared" si="1"/>
        <v>30601.666666666668</v>
      </c>
      <c r="H20" s="112"/>
      <c r="N20" s="80"/>
      <c r="O20" s="81">
        <v>17</v>
      </c>
      <c r="P20" s="82">
        <v>46296</v>
      </c>
      <c r="Q20" s="81">
        <v>1500</v>
      </c>
      <c r="R20" s="81">
        <f t="shared" si="4"/>
        <v>25500</v>
      </c>
      <c r="S20" s="83">
        <v>0</v>
      </c>
      <c r="T20" s="83">
        <f>(T19+Table510[[#This Row],[amount Paid]])</f>
        <v>3000</v>
      </c>
      <c r="U20" s="83">
        <f t="shared" si="3"/>
        <v>-22500</v>
      </c>
      <c r="V20" s="83"/>
      <c r="W20" s="77"/>
      <c r="AJ20" s="115"/>
      <c r="AK20" s="115"/>
      <c r="AL20" s="115"/>
      <c r="AM20" s="115"/>
      <c r="AN20" s="115"/>
      <c r="AO20" s="115"/>
      <c r="AP20" s="115"/>
    </row>
    <row r="21" spans="1:42" x14ac:dyDescent="0.2">
      <c r="A21" s="110">
        <v>46419</v>
      </c>
      <c r="B21" s="111">
        <v>0</v>
      </c>
      <c r="C21" s="111">
        <v>2000</v>
      </c>
      <c r="D21" s="111">
        <f t="shared" si="0"/>
        <v>2000</v>
      </c>
      <c r="E21" s="111">
        <v>2500</v>
      </c>
      <c r="F21" s="112">
        <f t="shared" si="2"/>
        <v>30000</v>
      </c>
      <c r="G21" s="112">
        <f t="shared" si="1"/>
        <v>30100.000000000004</v>
      </c>
      <c r="H21" s="112"/>
      <c r="N21" s="80"/>
      <c r="O21" s="81">
        <v>18</v>
      </c>
      <c r="P21" s="82">
        <v>46327</v>
      </c>
      <c r="Q21" s="81">
        <v>1500</v>
      </c>
      <c r="R21" s="81">
        <f t="shared" si="4"/>
        <v>27000</v>
      </c>
      <c r="S21" s="83">
        <v>0</v>
      </c>
      <c r="T21" s="83">
        <f>(T20+Table510[[#This Row],[amount Paid]])</f>
        <v>3000</v>
      </c>
      <c r="U21" s="83">
        <f t="shared" si="3"/>
        <v>-24000</v>
      </c>
      <c r="V21" s="83"/>
      <c r="W21" s="77"/>
    </row>
    <row r="22" spans="1:42" x14ac:dyDescent="0.2">
      <c r="A22" s="110">
        <v>46447</v>
      </c>
      <c r="B22" s="111">
        <v>0</v>
      </c>
      <c r="C22" s="111">
        <v>2000</v>
      </c>
      <c r="D22" s="111">
        <f t="shared" si="0"/>
        <v>2000</v>
      </c>
      <c r="E22" s="111">
        <v>2500</v>
      </c>
      <c r="F22" s="112">
        <f t="shared" si="2"/>
        <v>29500</v>
      </c>
      <c r="G22" s="112">
        <f t="shared" si="1"/>
        <v>29598.333333333336</v>
      </c>
      <c r="H22" s="112"/>
      <c r="N22" s="80"/>
      <c r="O22" s="81">
        <v>19</v>
      </c>
      <c r="P22" s="82">
        <v>46357</v>
      </c>
      <c r="Q22" s="81">
        <v>1500</v>
      </c>
      <c r="R22" s="81">
        <f t="shared" si="4"/>
        <v>28500</v>
      </c>
      <c r="S22" s="83">
        <v>0</v>
      </c>
      <c r="T22" s="83">
        <f>(T21+Table510[[#This Row],[amount Paid]])</f>
        <v>3000</v>
      </c>
      <c r="U22" s="83">
        <f t="shared" si="3"/>
        <v>-25500</v>
      </c>
      <c r="V22" s="83"/>
      <c r="W22" s="77"/>
    </row>
    <row r="23" spans="1:42" x14ac:dyDescent="0.2">
      <c r="A23" s="110">
        <v>46478</v>
      </c>
      <c r="B23" s="111">
        <v>0</v>
      </c>
      <c r="C23" s="111">
        <v>2000</v>
      </c>
      <c r="D23" s="111">
        <f t="shared" si="0"/>
        <v>2000</v>
      </c>
      <c r="E23" s="111">
        <v>2500</v>
      </c>
      <c r="F23" s="112">
        <f t="shared" si="2"/>
        <v>29000</v>
      </c>
      <c r="G23" s="112">
        <f t="shared" si="1"/>
        <v>29096.666666666668</v>
      </c>
      <c r="H23" s="112"/>
      <c r="N23" s="80"/>
      <c r="O23" s="81">
        <v>20</v>
      </c>
      <c r="P23" s="82">
        <v>46388</v>
      </c>
      <c r="Q23" s="81">
        <v>1500</v>
      </c>
      <c r="R23" s="81">
        <f t="shared" si="4"/>
        <v>30000</v>
      </c>
      <c r="S23" s="83">
        <v>0</v>
      </c>
      <c r="T23" s="83">
        <f>(T22+Table510[[#This Row],[amount Paid]])</f>
        <v>3000</v>
      </c>
      <c r="U23" s="83">
        <f t="shared" si="3"/>
        <v>-27000</v>
      </c>
      <c r="V23" s="83"/>
      <c r="W23" s="77"/>
    </row>
    <row r="24" spans="1:42" x14ac:dyDescent="0.2">
      <c r="A24" s="110">
        <v>46508</v>
      </c>
      <c r="B24" s="111">
        <v>0</v>
      </c>
      <c r="C24" s="111">
        <v>2000</v>
      </c>
      <c r="D24" s="111">
        <f t="shared" si="0"/>
        <v>2000</v>
      </c>
      <c r="E24" s="111">
        <v>2500</v>
      </c>
      <c r="F24" s="112">
        <f t="shared" si="2"/>
        <v>28500</v>
      </c>
      <c r="G24" s="112">
        <f t="shared" si="1"/>
        <v>28595.000000000004</v>
      </c>
      <c r="H24" s="112"/>
      <c r="N24" s="80"/>
      <c r="O24" s="81">
        <v>21</v>
      </c>
      <c r="P24" s="82">
        <v>46419</v>
      </c>
      <c r="Q24" s="81">
        <v>1500</v>
      </c>
      <c r="R24" s="81">
        <f t="shared" si="4"/>
        <v>31500</v>
      </c>
      <c r="S24" s="83">
        <v>0</v>
      </c>
      <c r="T24" s="83">
        <f>(T23+Table510[[#This Row],[amount Paid]])</f>
        <v>3000</v>
      </c>
      <c r="U24" s="83">
        <f t="shared" si="3"/>
        <v>-28500</v>
      </c>
      <c r="V24" s="83"/>
      <c r="W24" s="77"/>
      <c r="AH24" s="80"/>
    </row>
    <row r="25" spans="1:42" x14ac:dyDescent="0.2">
      <c r="A25" s="110">
        <v>46539</v>
      </c>
      <c r="B25" s="111">
        <v>0</v>
      </c>
      <c r="C25" s="111">
        <v>2000</v>
      </c>
      <c r="D25" s="111">
        <f t="shared" si="0"/>
        <v>2000</v>
      </c>
      <c r="E25" s="111">
        <v>2500</v>
      </c>
      <c r="F25" s="112">
        <f t="shared" si="2"/>
        <v>28000</v>
      </c>
      <c r="G25" s="112">
        <f t="shared" si="1"/>
        <v>28093.333333333336</v>
      </c>
      <c r="H25" s="112"/>
      <c r="O25" s="79"/>
      <c r="P25" s="82">
        <v>46447</v>
      </c>
      <c r="Q25" s="79"/>
      <c r="R25" s="79">
        <f>R24+Q25</f>
        <v>31500</v>
      </c>
      <c r="S25" s="77"/>
      <c r="T25" s="77"/>
      <c r="U25" s="77">
        <f>T25-R25</f>
        <v>-31500</v>
      </c>
      <c r="V25" s="77"/>
      <c r="W25" s="77"/>
      <c r="AH25" s="80"/>
    </row>
    <row r="26" spans="1:42" x14ac:dyDescent="0.2">
      <c r="A26" s="110">
        <v>46569</v>
      </c>
      <c r="B26" s="111">
        <v>0</v>
      </c>
      <c r="C26" s="111">
        <v>2000</v>
      </c>
      <c r="D26" s="111">
        <f t="shared" si="0"/>
        <v>2000</v>
      </c>
      <c r="E26" s="111">
        <v>2500</v>
      </c>
      <c r="F26" s="112">
        <f t="shared" si="2"/>
        <v>27500</v>
      </c>
      <c r="G26" s="112">
        <f t="shared" si="1"/>
        <v>27591.666666666668</v>
      </c>
      <c r="H26" s="112"/>
      <c r="AH26" s="80"/>
    </row>
    <row r="27" spans="1:42" x14ac:dyDescent="0.2">
      <c r="A27" s="110">
        <v>46600</v>
      </c>
      <c r="B27" s="111">
        <v>0</v>
      </c>
      <c r="C27" s="111">
        <v>2000</v>
      </c>
      <c r="D27" s="111">
        <f t="shared" si="0"/>
        <v>2000</v>
      </c>
      <c r="E27" s="111">
        <v>2500</v>
      </c>
      <c r="F27" s="112">
        <f t="shared" si="2"/>
        <v>27000</v>
      </c>
      <c r="G27" s="112">
        <f t="shared" si="1"/>
        <v>27090.000000000004</v>
      </c>
      <c r="H27" s="112"/>
      <c r="AH27" s="80"/>
    </row>
    <row r="28" spans="1:42" x14ac:dyDescent="0.2">
      <c r="A28" s="110">
        <v>46631</v>
      </c>
      <c r="B28" s="111">
        <v>0</v>
      </c>
      <c r="C28" s="111">
        <v>2000</v>
      </c>
      <c r="D28" s="111">
        <f t="shared" si="0"/>
        <v>2000</v>
      </c>
      <c r="E28" s="111">
        <v>2500</v>
      </c>
      <c r="F28" s="112">
        <f t="shared" si="2"/>
        <v>26500</v>
      </c>
      <c r="G28" s="112">
        <f t="shared" si="1"/>
        <v>26588.333333333336</v>
      </c>
      <c r="H28" s="112"/>
      <c r="AH28" s="80"/>
    </row>
    <row r="29" spans="1:42" x14ac:dyDescent="0.2">
      <c r="A29" s="110">
        <v>46661</v>
      </c>
      <c r="B29" s="111">
        <v>0</v>
      </c>
      <c r="C29" s="111">
        <v>2000</v>
      </c>
      <c r="D29" s="111">
        <f t="shared" si="0"/>
        <v>2000</v>
      </c>
      <c r="E29" s="111">
        <v>2500</v>
      </c>
      <c r="F29" s="112">
        <f t="shared" si="2"/>
        <v>26000</v>
      </c>
      <c r="G29" s="112">
        <f t="shared" si="1"/>
        <v>26086.666666666668</v>
      </c>
      <c r="H29" s="112"/>
      <c r="AH29" s="80"/>
    </row>
    <row r="30" spans="1:42" x14ac:dyDescent="0.2">
      <c r="A30" s="110">
        <v>46692</v>
      </c>
      <c r="B30" s="111">
        <v>0</v>
      </c>
      <c r="C30" s="111">
        <v>2000</v>
      </c>
      <c r="D30" s="111">
        <f t="shared" si="0"/>
        <v>2000</v>
      </c>
      <c r="E30" s="111">
        <v>2500</v>
      </c>
      <c r="F30" s="112">
        <f t="shared" si="2"/>
        <v>25500</v>
      </c>
      <c r="G30" s="112">
        <f t="shared" si="1"/>
        <v>25585.000000000004</v>
      </c>
      <c r="H30" s="112"/>
      <c r="AH30" s="80"/>
    </row>
    <row r="31" spans="1:42" x14ac:dyDescent="0.2">
      <c r="A31" s="110">
        <v>46722</v>
      </c>
      <c r="B31" s="111">
        <v>0</v>
      </c>
      <c r="C31" s="111">
        <v>2000</v>
      </c>
      <c r="D31" s="111">
        <f t="shared" si="0"/>
        <v>2000</v>
      </c>
      <c r="E31" s="111">
        <v>2500</v>
      </c>
      <c r="F31" s="112">
        <f t="shared" si="2"/>
        <v>25000</v>
      </c>
      <c r="G31" s="112">
        <f t="shared" si="1"/>
        <v>25083.333333333336</v>
      </c>
      <c r="H31" s="112"/>
      <c r="AH31" s="80"/>
    </row>
    <row r="32" spans="1:42" x14ac:dyDescent="0.2">
      <c r="A32" s="110">
        <v>46753</v>
      </c>
      <c r="B32" s="111">
        <v>0</v>
      </c>
      <c r="C32" s="111">
        <v>2000</v>
      </c>
      <c r="D32" s="111">
        <f t="shared" si="0"/>
        <v>2000</v>
      </c>
      <c r="E32" s="111">
        <v>3000</v>
      </c>
      <c r="F32" s="112">
        <f t="shared" si="2"/>
        <v>24000</v>
      </c>
      <c r="G32" s="112">
        <f t="shared" si="1"/>
        <v>24080.000000000004</v>
      </c>
      <c r="H32" s="112"/>
      <c r="AH32" s="80"/>
    </row>
    <row r="33" spans="1:34" x14ac:dyDescent="0.2">
      <c r="A33" s="110">
        <v>46784</v>
      </c>
      <c r="B33" s="111">
        <v>0</v>
      </c>
      <c r="C33" s="111">
        <v>2000</v>
      </c>
      <c r="D33" s="111">
        <f t="shared" si="0"/>
        <v>2000</v>
      </c>
      <c r="E33" s="111">
        <v>3000</v>
      </c>
      <c r="F33" s="112">
        <f t="shared" si="2"/>
        <v>23000</v>
      </c>
      <c r="G33" s="112">
        <f t="shared" si="1"/>
        <v>23076.666666666668</v>
      </c>
      <c r="H33" s="112"/>
      <c r="AH33" s="80"/>
    </row>
    <row r="34" spans="1:34" x14ac:dyDescent="0.2">
      <c r="A34" s="110">
        <v>46813</v>
      </c>
      <c r="B34" s="111">
        <v>0</v>
      </c>
      <c r="C34" s="111">
        <v>2000</v>
      </c>
      <c r="D34" s="111">
        <f t="shared" si="0"/>
        <v>2000</v>
      </c>
      <c r="E34" s="111">
        <v>3000</v>
      </c>
      <c r="F34" s="112">
        <f t="shared" si="2"/>
        <v>22000</v>
      </c>
      <c r="G34" s="112">
        <f t="shared" si="1"/>
        <v>22073.333333333336</v>
      </c>
      <c r="H34" s="112"/>
      <c r="AH34" s="80"/>
    </row>
    <row r="35" spans="1:34" x14ac:dyDescent="0.2">
      <c r="A35" s="110">
        <v>46844</v>
      </c>
      <c r="B35" s="111">
        <v>0</v>
      </c>
      <c r="C35" s="111">
        <v>2000</v>
      </c>
      <c r="D35" s="111">
        <f t="shared" si="0"/>
        <v>2000</v>
      </c>
      <c r="E35" s="111">
        <v>3000</v>
      </c>
      <c r="F35" s="112">
        <f t="shared" si="2"/>
        <v>21000</v>
      </c>
      <c r="G35" s="112">
        <f t="shared" si="1"/>
        <v>21070</v>
      </c>
      <c r="H35" s="112"/>
      <c r="AH35" s="80"/>
    </row>
    <row r="36" spans="1:34" x14ac:dyDescent="0.2">
      <c r="A36" s="110">
        <v>46874</v>
      </c>
      <c r="B36" s="111">
        <v>0</v>
      </c>
      <c r="C36" s="111">
        <v>2000</v>
      </c>
      <c r="D36" s="111">
        <f t="shared" si="0"/>
        <v>2000</v>
      </c>
      <c r="E36" s="111">
        <v>3000</v>
      </c>
      <c r="F36" s="112">
        <f t="shared" si="2"/>
        <v>20000</v>
      </c>
      <c r="G36" s="112">
        <f t="shared" si="1"/>
        <v>20066.666666666668</v>
      </c>
      <c r="H36" s="112"/>
      <c r="AH36" s="80"/>
    </row>
    <row r="37" spans="1:34" x14ac:dyDescent="0.2">
      <c r="A37" s="110">
        <v>46905</v>
      </c>
      <c r="B37" s="111">
        <v>0</v>
      </c>
      <c r="C37" s="111">
        <v>2000</v>
      </c>
      <c r="D37" s="111">
        <f t="shared" si="0"/>
        <v>2000</v>
      </c>
      <c r="E37" s="111">
        <v>3000</v>
      </c>
      <c r="F37" s="112">
        <f t="shared" si="2"/>
        <v>19000</v>
      </c>
      <c r="G37" s="112">
        <f t="shared" si="1"/>
        <v>19063.333333333336</v>
      </c>
      <c r="H37" s="112"/>
      <c r="AH37" s="80"/>
    </row>
    <row r="38" spans="1:34" x14ac:dyDescent="0.2">
      <c r="A38" s="110">
        <v>46935</v>
      </c>
      <c r="B38" s="111">
        <v>0</v>
      </c>
      <c r="C38" s="111">
        <v>2000</v>
      </c>
      <c r="D38" s="111">
        <f t="shared" si="0"/>
        <v>2000</v>
      </c>
      <c r="E38" s="111">
        <v>3000</v>
      </c>
      <c r="F38" s="112">
        <f t="shared" si="2"/>
        <v>18000</v>
      </c>
      <c r="G38" s="112">
        <f t="shared" si="1"/>
        <v>18060</v>
      </c>
      <c r="H38" s="112"/>
      <c r="AH38" s="80"/>
    </row>
    <row r="39" spans="1:34" hidden="1" x14ac:dyDescent="0.2">
      <c r="A39" s="110">
        <v>46966</v>
      </c>
      <c r="B39" s="111">
        <v>0</v>
      </c>
      <c r="C39" s="111">
        <v>2000</v>
      </c>
      <c r="D39" s="111">
        <f t="shared" si="0"/>
        <v>2000</v>
      </c>
      <c r="E39" s="111">
        <v>3000</v>
      </c>
      <c r="F39" s="112">
        <f t="shared" si="2"/>
        <v>17000</v>
      </c>
      <c r="G39" s="112">
        <f t="shared" si="1"/>
        <v>17056.666666666668</v>
      </c>
      <c r="H39" s="112"/>
      <c r="S39">
        <f>AM39+B39</f>
        <v>0</v>
      </c>
      <c r="AH39" s="80"/>
    </row>
    <row r="40" spans="1:34" hidden="1" x14ac:dyDescent="0.2">
      <c r="A40" s="110">
        <v>46997</v>
      </c>
      <c r="B40" s="111">
        <v>0</v>
      </c>
      <c r="C40" s="111">
        <v>2000</v>
      </c>
      <c r="D40" s="111">
        <f t="shared" si="0"/>
        <v>2000</v>
      </c>
      <c r="E40" s="111">
        <v>3000</v>
      </c>
      <c r="F40" s="112">
        <f t="shared" si="2"/>
        <v>16000</v>
      </c>
      <c r="G40" s="112">
        <f t="shared" si="1"/>
        <v>16053.333333333334</v>
      </c>
      <c r="H40" s="112"/>
      <c r="S40">
        <f t="shared" ref="S40:S41" si="5">S39+B40</f>
        <v>0</v>
      </c>
      <c r="AH40" s="80"/>
    </row>
    <row r="41" spans="1:34" hidden="1" x14ac:dyDescent="0.2">
      <c r="A41" s="110">
        <v>47027</v>
      </c>
      <c r="B41" s="111">
        <v>0</v>
      </c>
      <c r="C41" s="111">
        <v>2000</v>
      </c>
      <c r="D41" s="111">
        <f t="shared" si="0"/>
        <v>2000</v>
      </c>
      <c r="E41" s="111">
        <v>3000</v>
      </c>
      <c r="F41" s="112">
        <f t="shared" si="2"/>
        <v>15000</v>
      </c>
      <c r="G41" s="112">
        <f t="shared" si="1"/>
        <v>15050.000000000002</v>
      </c>
      <c r="H41" s="112"/>
      <c r="S41">
        <f t="shared" si="5"/>
        <v>0</v>
      </c>
      <c r="T41">
        <v>18</v>
      </c>
      <c r="AH41" s="80"/>
    </row>
    <row r="42" spans="1:34" x14ac:dyDescent="0.2">
      <c r="A42" s="110">
        <v>47058</v>
      </c>
      <c r="B42" s="111">
        <v>0</v>
      </c>
      <c r="C42" s="111">
        <v>2000</v>
      </c>
      <c r="D42" s="111">
        <f t="shared" si="0"/>
        <v>2000</v>
      </c>
      <c r="E42" s="111">
        <v>3000</v>
      </c>
      <c r="F42" s="112">
        <f t="shared" si="2"/>
        <v>14000</v>
      </c>
      <c r="G42" s="112">
        <f t="shared" si="1"/>
        <v>14046.666666666668</v>
      </c>
      <c r="H42" s="112"/>
      <c r="AH42" s="80"/>
    </row>
    <row r="43" spans="1:34" x14ac:dyDescent="0.2">
      <c r="A43" s="110">
        <v>47088</v>
      </c>
      <c r="B43" s="111">
        <v>0</v>
      </c>
      <c r="C43" s="111">
        <v>2000</v>
      </c>
      <c r="D43" s="111">
        <f t="shared" si="0"/>
        <v>2000</v>
      </c>
      <c r="E43" s="111">
        <v>3000</v>
      </c>
      <c r="F43" s="112">
        <f t="shared" si="2"/>
        <v>13000</v>
      </c>
      <c r="G43" s="112">
        <f t="shared" si="1"/>
        <v>13043.333333333334</v>
      </c>
      <c r="H43" s="112"/>
    </row>
    <row r="44" spans="1:34" x14ac:dyDescent="0.2">
      <c r="A44" s="110">
        <v>47119</v>
      </c>
      <c r="B44" s="111">
        <v>0</v>
      </c>
      <c r="C44" s="111">
        <v>2000</v>
      </c>
      <c r="D44" s="111">
        <f t="shared" si="0"/>
        <v>2000</v>
      </c>
      <c r="E44" s="111">
        <v>4000</v>
      </c>
      <c r="F44" s="112">
        <f t="shared" si="2"/>
        <v>11000</v>
      </c>
      <c r="G44" s="112">
        <f t="shared" si="1"/>
        <v>11036.666666666668</v>
      </c>
      <c r="H44" s="112"/>
    </row>
    <row r="45" spans="1:34" x14ac:dyDescent="0.2">
      <c r="A45" s="110">
        <v>47150</v>
      </c>
      <c r="B45" s="111">
        <v>0</v>
      </c>
      <c r="C45" s="111">
        <v>2000</v>
      </c>
      <c r="D45" s="111">
        <f t="shared" si="0"/>
        <v>2000</v>
      </c>
      <c r="E45" s="111">
        <v>4000</v>
      </c>
      <c r="F45" s="112">
        <f t="shared" si="2"/>
        <v>9000</v>
      </c>
      <c r="G45" s="112">
        <f t="shared" si="1"/>
        <v>9030</v>
      </c>
      <c r="H45" s="112"/>
    </row>
    <row r="46" spans="1:34" x14ac:dyDescent="0.2">
      <c r="A46" s="110">
        <v>47178</v>
      </c>
      <c r="B46" s="111">
        <v>0</v>
      </c>
      <c r="C46" s="111">
        <v>2000</v>
      </c>
      <c r="D46" s="111">
        <f t="shared" si="0"/>
        <v>2000</v>
      </c>
      <c r="E46" s="111">
        <v>4000</v>
      </c>
      <c r="F46" s="112">
        <f t="shared" si="2"/>
        <v>7000</v>
      </c>
      <c r="G46" s="112">
        <f t="shared" si="1"/>
        <v>7023.3333333333339</v>
      </c>
      <c r="H46" s="112"/>
    </row>
    <row r="47" spans="1:34" x14ac:dyDescent="0.2">
      <c r="A47" s="110">
        <v>47209</v>
      </c>
      <c r="B47" s="111">
        <v>0</v>
      </c>
      <c r="C47" s="111">
        <v>2000</v>
      </c>
      <c r="D47" s="111">
        <f t="shared" si="0"/>
        <v>2000</v>
      </c>
      <c r="E47" s="111">
        <v>4000</v>
      </c>
      <c r="F47" s="112">
        <f t="shared" si="2"/>
        <v>5000</v>
      </c>
      <c r="G47" s="112">
        <f t="shared" si="1"/>
        <v>5016.666666666667</v>
      </c>
      <c r="H47" s="112"/>
    </row>
    <row r="48" spans="1:34" x14ac:dyDescent="0.2">
      <c r="A48" s="110">
        <v>47239</v>
      </c>
      <c r="B48" s="111">
        <v>0</v>
      </c>
      <c r="C48" s="111">
        <v>2000</v>
      </c>
      <c r="D48" s="111">
        <f t="shared" si="0"/>
        <v>2000</v>
      </c>
      <c r="E48" s="111">
        <v>4000</v>
      </c>
      <c r="F48" s="112">
        <f t="shared" si="2"/>
        <v>3000</v>
      </c>
      <c r="G48" s="112">
        <f t="shared" si="1"/>
        <v>3010.0000000000005</v>
      </c>
      <c r="H48" s="112"/>
    </row>
    <row r="49" spans="1:8" x14ac:dyDescent="0.2">
      <c r="A49" s="110">
        <v>47270</v>
      </c>
      <c r="B49" s="111">
        <v>0</v>
      </c>
      <c r="C49" s="111">
        <v>2000</v>
      </c>
      <c r="D49" s="111">
        <f t="shared" si="0"/>
        <v>2000</v>
      </c>
      <c r="E49" s="111">
        <v>4000</v>
      </c>
      <c r="F49" s="112">
        <f t="shared" si="2"/>
        <v>1000</v>
      </c>
      <c r="G49" s="112">
        <f t="shared" si="1"/>
        <v>1003.3333333333334</v>
      </c>
      <c r="H49" s="112"/>
    </row>
    <row r="50" spans="1:8" x14ac:dyDescent="0.2">
      <c r="A50" s="110">
        <v>47300</v>
      </c>
      <c r="B50" s="111">
        <v>0</v>
      </c>
      <c r="C50" s="111">
        <v>2000</v>
      </c>
      <c r="D50" s="111">
        <f t="shared" si="0"/>
        <v>2000</v>
      </c>
      <c r="E50" s="111">
        <v>4000</v>
      </c>
      <c r="F50" s="112">
        <f t="shared" si="2"/>
        <v>-1000</v>
      </c>
      <c r="G50" s="112">
        <f t="shared" si="1"/>
        <v>-1003.3333333333334</v>
      </c>
      <c r="H50" s="112"/>
    </row>
    <row r="51" spans="1:8" x14ac:dyDescent="0.2">
      <c r="A51" s="110">
        <v>47331</v>
      </c>
      <c r="B51" s="111">
        <v>0</v>
      </c>
      <c r="C51" s="111">
        <v>2000</v>
      </c>
      <c r="D51" s="111">
        <f t="shared" si="0"/>
        <v>2000</v>
      </c>
      <c r="E51" s="111">
        <v>4000</v>
      </c>
      <c r="F51" s="112">
        <f t="shared" si="2"/>
        <v>-3000</v>
      </c>
      <c r="G51" s="112">
        <f t="shared" si="1"/>
        <v>-3010.0000000000005</v>
      </c>
      <c r="H51" s="112"/>
    </row>
    <row r="52" spans="1:8" x14ac:dyDescent="0.2">
      <c r="A52" s="110">
        <v>47362</v>
      </c>
      <c r="B52" s="111">
        <v>0</v>
      </c>
      <c r="C52" s="111">
        <v>2000</v>
      </c>
      <c r="D52" s="111">
        <f t="shared" si="0"/>
        <v>2000</v>
      </c>
      <c r="E52" s="111">
        <v>4000</v>
      </c>
      <c r="F52" s="112">
        <f t="shared" si="2"/>
        <v>-5000</v>
      </c>
      <c r="G52" s="112">
        <f t="shared" si="1"/>
        <v>-5016.666666666667</v>
      </c>
      <c r="H52" s="112"/>
    </row>
    <row r="53" spans="1:8" x14ac:dyDescent="0.2">
      <c r="A53" s="110">
        <v>47392</v>
      </c>
      <c r="B53" s="111">
        <v>0</v>
      </c>
      <c r="C53" s="111">
        <v>2000</v>
      </c>
      <c r="D53" s="111">
        <f t="shared" ref="D53:D55" si="6">SUM(B53:C53)</f>
        <v>2000</v>
      </c>
      <c r="E53" s="111">
        <v>4001</v>
      </c>
      <c r="F53" s="112">
        <f t="shared" si="2"/>
        <v>-7001</v>
      </c>
      <c r="G53" s="112">
        <f t="shared" si="1"/>
        <v>-7024.336666666667</v>
      </c>
      <c r="H53" s="112"/>
    </row>
    <row r="54" spans="1:8" x14ac:dyDescent="0.2">
      <c r="A54" s="110">
        <v>47423</v>
      </c>
      <c r="B54" s="111">
        <v>0</v>
      </c>
      <c r="C54" s="111">
        <v>2000</v>
      </c>
      <c r="D54" s="111">
        <f t="shared" si="6"/>
        <v>2000</v>
      </c>
      <c r="E54" s="111">
        <v>4002</v>
      </c>
      <c r="F54" s="112">
        <f t="shared" si="2"/>
        <v>-9003</v>
      </c>
      <c r="G54" s="112">
        <f t="shared" si="1"/>
        <v>-9033.01</v>
      </c>
      <c r="H54" s="112"/>
    </row>
    <row r="55" spans="1:8" x14ac:dyDescent="0.2">
      <c r="A55" s="110">
        <v>47453</v>
      </c>
      <c r="B55" s="111">
        <v>0</v>
      </c>
      <c r="C55" s="111">
        <v>2000</v>
      </c>
      <c r="D55" s="111">
        <f t="shared" si="6"/>
        <v>2000</v>
      </c>
      <c r="E55" s="111">
        <v>4003</v>
      </c>
      <c r="F55" s="112">
        <f t="shared" si="2"/>
        <v>-11006</v>
      </c>
      <c r="G55" s="112">
        <f t="shared" si="1"/>
        <v>-11042.686666666668</v>
      </c>
      <c r="H55" s="112"/>
    </row>
  </sheetData>
  <mergeCells count="4">
    <mergeCell ref="AN20:AP20"/>
    <mergeCell ref="AJ20:AM20"/>
    <mergeCell ref="O2:R2"/>
    <mergeCell ref="S2:U2"/>
  </mergeCells>
  <conditionalFormatting sqref="W15:X15">
    <cfRule type="cellIs" dxfId="29" priority="6" operator="lessThan">
      <formula>0</formula>
    </cfRule>
    <cfRule type="cellIs" dxfId="28" priority="7" operator="greaterThan">
      <formula>0</formula>
    </cfRule>
  </conditionalFormatting>
  <conditionalFormatting sqref="AP22">
    <cfRule type="cellIs" dxfId="27" priority="4" operator="lessThan">
      <formula>0</formula>
    </cfRule>
  </conditionalFormatting>
  <conditionalFormatting sqref="U4:V4">
    <cfRule type="cellIs" dxfId="24" priority="1" operator="lessThan">
      <formula>0</formula>
    </cfRule>
  </conditionalFormatting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F5B7C-0FCC-0943-9331-D1EBDC6FD5FA}">
  <dimension ref="A1:BK25"/>
  <sheetViews>
    <sheetView workbookViewId="0">
      <selection activeCell="AS23" sqref="AS23"/>
    </sheetView>
  </sheetViews>
  <sheetFormatPr baseColWidth="10" defaultRowHeight="16" x14ac:dyDescent="0.2"/>
  <cols>
    <col min="3" max="11" width="0" hidden="1" customWidth="1"/>
  </cols>
  <sheetData>
    <row r="1" spans="1:63" x14ac:dyDescent="0.2">
      <c r="A1" s="1" t="s">
        <v>98</v>
      </c>
      <c r="B1" s="1" t="s">
        <v>116</v>
      </c>
      <c r="C1" s="1"/>
    </row>
    <row r="2" spans="1:63" ht="34" x14ac:dyDescent="0.2">
      <c r="A2" s="86" t="s">
        <v>117</v>
      </c>
      <c r="B2" s="86">
        <v>2.5000000000000001E-2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6"/>
      <c r="BI2" s="86"/>
      <c r="BJ2" s="86"/>
      <c r="BK2" s="86"/>
    </row>
    <row r="3" spans="1:63" ht="34" x14ac:dyDescent="0.2">
      <c r="A3" s="86" t="s">
        <v>118</v>
      </c>
      <c r="B3" s="86">
        <f>1+ B2/12</f>
        <v>1.0020833333333334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86"/>
      <c r="BI3" s="86"/>
      <c r="BJ3" s="86"/>
      <c r="BK3" s="86"/>
    </row>
    <row r="4" spans="1:63" ht="51" x14ac:dyDescent="0.2">
      <c r="A4" s="86" t="s">
        <v>119</v>
      </c>
      <c r="B4" s="86">
        <v>30000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6"/>
    </row>
    <row r="5" spans="1:63" ht="17" x14ac:dyDescent="0.2">
      <c r="A5" s="86" t="s">
        <v>120</v>
      </c>
      <c r="B5" s="86">
        <v>5000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6"/>
      <c r="BF5" s="86"/>
      <c r="BG5" s="86"/>
      <c r="BH5" s="86"/>
      <c r="BI5" s="86"/>
      <c r="BJ5" s="86"/>
      <c r="BK5" s="86"/>
    </row>
    <row r="6" spans="1:63" ht="17" x14ac:dyDescent="0.2">
      <c r="A6" s="86" t="s">
        <v>121</v>
      </c>
      <c r="B6" s="86">
        <v>2000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6"/>
      <c r="BK6" s="86"/>
    </row>
    <row r="7" spans="1:63" ht="34" x14ac:dyDescent="0.2">
      <c r="A7" s="86" t="s">
        <v>122</v>
      </c>
      <c r="B7" s="86">
        <f>B4-B5-B6</f>
        <v>23000</v>
      </c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6"/>
      <c r="BF7" s="86"/>
      <c r="BG7" s="86"/>
      <c r="BH7" s="86"/>
      <c r="BI7" s="86"/>
      <c r="BJ7" s="86"/>
      <c r="BK7" s="86"/>
    </row>
    <row r="8" spans="1:63" ht="34" x14ac:dyDescent="0.2">
      <c r="A8" s="86" t="s">
        <v>123</v>
      </c>
      <c r="B8" s="86">
        <v>10000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</row>
    <row r="9" spans="1:63" ht="51" x14ac:dyDescent="0.2">
      <c r="A9" s="86" t="s">
        <v>124</v>
      </c>
      <c r="B9" s="86">
        <v>5000</v>
      </c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6"/>
      <c r="BF9" s="86"/>
      <c r="BG9" s="86"/>
      <c r="BH9" s="86"/>
      <c r="BI9" s="86"/>
      <c r="BJ9" s="86"/>
      <c r="BK9" s="86"/>
    </row>
    <row r="10" spans="1:63" ht="51" x14ac:dyDescent="0.2">
      <c r="A10" s="86" t="s">
        <v>125</v>
      </c>
      <c r="B10" s="86">
        <v>0</v>
      </c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</row>
    <row r="12" spans="1:63" x14ac:dyDescent="0.2">
      <c r="A12" s="1" t="s">
        <v>126</v>
      </c>
      <c r="B12" s="1" t="s">
        <v>127</v>
      </c>
      <c r="C12" s="76" t="s">
        <v>128</v>
      </c>
      <c r="D12" s="76" t="s">
        <v>129</v>
      </c>
      <c r="E12" s="76" t="s">
        <v>130</v>
      </c>
      <c r="F12" s="76" t="s">
        <v>131</v>
      </c>
      <c r="G12" s="76" t="s">
        <v>132</v>
      </c>
      <c r="H12" s="76" t="s">
        <v>133</v>
      </c>
      <c r="I12" s="76" t="s">
        <v>134</v>
      </c>
      <c r="J12" s="76" t="s">
        <v>135</v>
      </c>
      <c r="K12" s="76" t="s">
        <v>136</v>
      </c>
      <c r="L12" s="76" t="s">
        <v>137</v>
      </c>
      <c r="M12" s="76" t="s">
        <v>138</v>
      </c>
      <c r="N12" s="76" t="s">
        <v>139</v>
      </c>
      <c r="O12" s="76" t="s">
        <v>140</v>
      </c>
      <c r="P12" s="76" t="s">
        <v>141</v>
      </c>
      <c r="Q12" s="76" t="s">
        <v>142</v>
      </c>
      <c r="R12" s="76" t="s">
        <v>143</v>
      </c>
      <c r="S12" s="76" t="s">
        <v>144</v>
      </c>
      <c r="T12" s="76" t="s">
        <v>145</v>
      </c>
      <c r="U12" s="76" t="s">
        <v>146</v>
      </c>
      <c r="V12" s="76" t="s">
        <v>147</v>
      </c>
      <c r="W12" s="76" t="s">
        <v>148</v>
      </c>
      <c r="X12" s="76" t="s">
        <v>149</v>
      </c>
      <c r="Y12" s="76" t="s">
        <v>150</v>
      </c>
      <c r="Z12" s="76" t="s">
        <v>151</v>
      </c>
      <c r="AA12" s="76" t="s">
        <v>152</v>
      </c>
      <c r="AB12" s="76" t="s">
        <v>153</v>
      </c>
      <c r="AC12" s="76" t="s">
        <v>154</v>
      </c>
      <c r="AD12" s="76" t="s">
        <v>155</v>
      </c>
      <c r="AE12" s="76" t="s">
        <v>156</v>
      </c>
      <c r="AF12" s="76" t="s">
        <v>157</v>
      </c>
      <c r="AG12" s="76" t="s">
        <v>158</v>
      </c>
      <c r="AH12" s="76" t="s">
        <v>159</v>
      </c>
      <c r="AI12" s="76" t="s">
        <v>160</v>
      </c>
      <c r="AJ12" s="76" t="s">
        <v>161</v>
      </c>
      <c r="AK12" s="76" t="s">
        <v>162</v>
      </c>
      <c r="AL12" s="76" t="s">
        <v>163</v>
      </c>
      <c r="AM12" s="76" t="s">
        <v>164</v>
      </c>
      <c r="AN12" s="76" t="s">
        <v>165</v>
      </c>
      <c r="AO12" s="76" t="s">
        <v>166</v>
      </c>
      <c r="AP12" s="76" t="s">
        <v>167</v>
      </c>
      <c r="AQ12" s="76" t="s">
        <v>168</v>
      </c>
      <c r="AR12" s="76" t="s">
        <v>169</v>
      </c>
      <c r="AS12" s="76" t="s">
        <v>170</v>
      </c>
      <c r="AT12" s="76" t="s">
        <v>171</v>
      </c>
      <c r="AU12" s="76" t="s">
        <v>172</v>
      </c>
      <c r="AV12" s="76" t="s">
        <v>173</v>
      </c>
      <c r="AW12" s="76" t="s">
        <v>174</v>
      </c>
      <c r="AX12" s="76" t="s">
        <v>175</v>
      </c>
      <c r="AY12" s="76" t="s">
        <v>176</v>
      </c>
      <c r="AZ12" s="76" t="s">
        <v>177</v>
      </c>
      <c r="BA12" s="76" t="s">
        <v>178</v>
      </c>
      <c r="BB12" s="76" t="s">
        <v>179</v>
      </c>
      <c r="BC12" s="76" t="s">
        <v>180</v>
      </c>
      <c r="BD12" s="76" t="s">
        <v>181</v>
      </c>
      <c r="BE12" s="76" t="s">
        <v>182</v>
      </c>
      <c r="BF12" s="76" t="s">
        <v>183</v>
      </c>
      <c r="BG12" s="76" t="s">
        <v>184</v>
      </c>
      <c r="BH12" s="76" t="s">
        <v>185</v>
      </c>
      <c r="BI12" s="76" t="s">
        <v>186</v>
      </c>
      <c r="BJ12" s="76" t="s">
        <v>187</v>
      </c>
    </row>
    <row r="13" spans="1:63" x14ac:dyDescent="0.2">
      <c r="A13" s="87" t="s">
        <v>188</v>
      </c>
      <c r="B13" s="87" t="s">
        <v>189</v>
      </c>
      <c r="C13" s="88"/>
      <c r="D13" s="88">
        <v>4000</v>
      </c>
      <c r="E13" s="87">
        <v>4000</v>
      </c>
      <c r="F13" s="87">
        <v>4000</v>
      </c>
      <c r="G13" s="87">
        <v>5000</v>
      </c>
      <c r="H13" s="87">
        <f>$B$9</f>
        <v>5000</v>
      </c>
      <c r="I13" s="89">
        <f t="shared" ref="I13:BJ13" si="0">$B$9</f>
        <v>5000</v>
      </c>
      <c r="J13" s="87"/>
      <c r="K13" s="97"/>
      <c r="L13" s="87">
        <v>10000</v>
      </c>
      <c r="M13" s="87">
        <f t="shared" si="0"/>
        <v>5000</v>
      </c>
      <c r="N13" s="87">
        <f t="shared" si="0"/>
        <v>5000</v>
      </c>
      <c r="O13" s="87">
        <f t="shared" si="0"/>
        <v>5000</v>
      </c>
      <c r="P13" s="87">
        <f t="shared" si="0"/>
        <v>5000</v>
      </c>
      <c r="Q13" s="87">
        <f t="shared" si="0"/>
        <v>5000</v>
      </c>
      <c r="R13" s="87">
        <f t="shared" si="0"/>
        <v>5000</v>
      </c>
      <c r="S13" s="87">
        <f t="shared" si="0"/>
        <v>5000</v>
      </c>
      <c r="T13" s="87">
        <f t="shared" si="0"/>
        <v>5000</v>
      </c>
      <c r="U13" s="87">
        <f t="shared" si="0"/>
        <v>5000</v>
      </c>
      <c r="V13" s="87">
        <f t="shared" si="0"/>
        <v>5000</v>
      </c>
      <c r="W13" s="87">
        <f t="shared" si="0"/>
        <v>5000</v>
      </c>
      <c r="X13" s="87">
        <f t="shared" si="0"/>
        <v>5000</v>
      </c>
      <c r="Y13" s="87">
        <f t="shared" si="0"/>
        <v>5000</v>
      </c>
      <c r="Z13" s="87">
        <f t="shared" si="0"/>
        <v>5000</v>
      </c>
      <c r="AA13" s="87">
        <f t="shared" si="0"/>
        <v>5000</v>
      </c>
      <c r="AB13" s="87">
        <f t="shared" si="0"/>
        <v>5000</v>
      </c>
      <c r="AC13" s="87">
        <f t="shared" si="0"/>
        <v>5000</v>
      </c>
      <c r="AD13" s="87">
        <f t="shared" si="0"/>
        <v>5000</v>
      </c>
      <c r="AE13" s="87">
        <f t="shared" si="0"/>
        <v>5000</v>
      </c>
      <c r="AF13" s="87">
        <f t="shared" si="0"/>
        <v>5000</v>
      </c>
      <c r="AG13" s="87">
        <f t="shared" si="0"/>
        <v>5000</v>
      </c>
      <c r="AH13" s="87">
        <f t="shared" si="0"/>
        <v>5000</v>
      </c>
      <c r="AI13" s="87">
        <f t="shared" si="0"/>
        <v>5000</v>
      </c>
      <c r="AJ13" s="87">
        <f t="shared" si="0"/>
        <v>5000</v>
      </c>
      <c r="AK13" s="87">
        <f t="shared" si="0"/>
        <v>5000</v>
      </c>
      <c r="AL13" s="87">
        <f t="shared" si="0"/>
        <v>5000</v>
      </c>
      <c r="AM13" s="87">
        <f t="shared" si="0"/>
        <v>5000</v>
      </c>
      <c r="AN13" s="87">
        <f t="shared" si="0"/>
        <v>5000</v>
      </c>
      <c r="AO13" s="87">
        <f t="shared" si="0"/>
        <v>5000</v>
      </c>
      <c r="AP13" s="87">
        <f t="shared" si="0"/>
        <v>5000</v>
      </c>
      <c r="AQ13" s="87">
        <f t="shared" si="0"/>
        <v>5000</v>
      </c>
      <c r="AR13" s="87">
        <f t="shared" si="0"/>
        <v>5000</v>
      </c>
      <c r="AS13" s="87">
        <f t="shared" si="0"/>
        <v>5000</v>
      </c>
      <c r="AT13" s="87">
        <f t="shared" si="0"/>
        <v>5000</v>
      </c>
      <c r="AU13" s="87">
        <f t="shared" si="0"/>
        <v>5000</v>
      </c>
      <c r="AV13" s="87">
        <f t="shared" si="0"/>
        <v>5000</v>
      </c>
      <c r="AW13" s="87">
        <f t="shared" si="0"/>
        <v>5000</v>
      </c>
      <c r="AX13" s="87">
        <f t="shared" si="0"/>
        <v>5000</v>
      </c>
      <c r="AY13" s="87">
        <f t="shared" si="0"/>
        <v>5000</v>
      </c>
      <c r="AZ13" s="87">
        <f t="shared" si="0"/>
        <v>5000</v>
      </c>
      <c r="BA13" s="87">
        <f t="shared" si="0"/>
        <v>5000</v>
      </c>
      <c r="BB13" s="87">
        <f t="shared" si="0"/>
        <v>5000</v>
      </c>
      <c r="BC13" s="87">
        <f t="shared" si="0"/>
        <v>5000</v>
      </c>
      <c r="BD13" s="87">
        <f t="shared" si="0"/>
        <v>5000</v>
      </c>
      <c r="BE13" s="87">
        <f t="shared" si="0"/>
        <v>5000</v>
      </c>
      <c r="BF13" s="87">
        <f t="shared" si="0"/>
        <v>5000</v>
      </c>
      <c r="BG13" s="87">
        <f t="shared" si="0"/>
        <v>5000</v>
      </c>
      <c r="BH13" s="87">
        <f t="shared" si="0"/>
        <v>5000</v>
      </c>
      <c r="BI13" s="87">
        <f t="shared" si="0"/>
        <v>5000</v>
      </c>
      <c r="BJ13" s="87">
        <f t="shared" si="0"/>
        <v>5000</v>
      </c>
      <c r="BK13" s="90"/>
    </row>
    <row r="14" spans="1:63" x14ac:dyDescent="0.2">
      <c r="A14" s="87" t="s">
        <v>188</v>
      </c>
      <c r="B14" s="87" t="s">
        <v>190</v>
      </c>
      <c r="C14" s="87"/>
      <c r="D14" s="87"/>
      <c r="E14" s="87"/>
      <c r="F14" s="87">
        <f t="shared" ref="F14:BJ14" si="1">$B$10</f>
        <v>0</v>
      </c>
      <c r="G14" s="87">
        <v>1500</v>
      </c>
      <c r="H14" s="87">
        <f t="shared" si="1"/>
        <v>0</v>
      </c>
      <c r="I14" s="89">
        <v>500</v>
      </c>
      <c r="J14" s="87">
        <f>$B$10</f>
        <v>0</v>
      </c>
      <c r="K14" s="87">
        <f t="shared" si="1"/>
        <v>0</v>
      </c>
      <c r="L14" s="87">
        <f t="shared" si="1"/>
        <v>0</v>
      </c>
      <c r="M14" s="87">
        <f t="shared" si="1"/>
        <v>0</v>
      </c>
      <c r="N14" s="87">
        <f t="shared" si="1"/>
        <v>0</v>
      </c>
      <c r="O14" s="87">
        <f t="shared" si="1"/>
        <v>0</v>
      </c>
      <c r="P14" s="87">
        <f t="shared" si="1"/>
        <v>0</v>
      </c>
      <c r="Q14" s="87">
        <f t="shared" si="1"/>
        <v>0</v>
      </c>
      <c r="R14" s="87">
        <f t="shared" si="1"/>
        <v>0</v>
      </c>
      <c r="S14" s="87">
        <f t="shared" si="1"/>
        <v>0</v>
      </c>
      <c r="T14" s="87">
        <f t="shared" si="1"/>
        <v>0</v>
      </c>
      <c r="U14" s="87">
        <f t="shared" si="1"/>
        <v>0</v>
      </c>
      <c r="V14" s="87">
        <f t="shared" si="1"/>
        <v>0</v>
      </c>
      <c r="W14" s="87">
        <f t="shared" si="1"/>
        <v>0</v>
      </c>
      <c r="X14" s="87">
        <f t="shared" si="1"/>
        <v>0</v>
      </c>
      <c r="Y14" s="87">
        <f t="shared" si="1"/>
        <v>0</v>
      </c>
      <c r="Z14" s="87">
        <f t="shared" si="1"/>
        <v>0</v>
      </c>
      <c r="AA14" s="87">
        <f t="shared" si="1"/>
        <v>0</v>
      </c>
      <c r="AB14" s="87">
        <f t="shared" si="1"/>
        <v>0</v>
      </c>
      <c r="AC14" s="87">
        <f t="shared" si="1"/>
        <v>0</v>
      </c>
      <c r="AD14" s="87">
        <f t="shared" si="1"/>
        <v>0</v>
      </c>
      <c r="AE14" s="87">
        <f t="shared" si="1"/>
        <v>0</v>
      </c>
      <c r="AF14" s="87">
        <f t="shared" si="1"/>
        <v>0</v>
      </c>
      <c r="AG14" s="87">
        <f t="shared" si="1"/>
        <v>0</v>
      </c>
      <c r="AH14" s="87">
        <f t="shared" si="1"/>
        <v>0</v>
      </c>
      <c r="AI14" s="87">
        <f t="shared" si="1"/>
        <v>0</v>
      </c>
      <c r="AJ14" s="87">
        <f t="shared" si="1"/>
        <v>0</v>
      </c>
      <c r="AK14" s="87">
        <f t="shared" si="1"/>
        <v>0</v>
      </c>
      <c r="AL14" s="87">
        <f t="shared" si="1"/>
        <v>0</v>
      </c>
      <c r="AM14" s="87">
        <f t="shared" si="1"/>
        <v>0</v>
      </c>
      <c r="AN14" s="87">
        <f t="shared" si="1"/>
        <v>0</v>
      </c>
      <c r="AO14" s="87">
        <f t="shared" si="1"/>
        <v>0</v>
      </c>
      <c r="AP14" s="87">
        <f t="shared" si="1"/>
        <v>0</v>
      </c>
      <c r="AQ14" s="87">
        <f t="shared" si="1"/>
        <v>0</v>
      </c>
      <c r="AR14" s="87">
        <f t="shared" si="1"/>
        <v>0</v>
      </c>
      <c r="AS14" s="87">
        <f t="shared" si="1"/>
        <v>0</v>
      </c>
      <c r="AT14" s="87">
        <f t="shared" si="1"/>
        <v>0</v>
      </c>
      <c r="AU14" s="87">
        <f t="shared" si="1"/>
        <v>0</v>
      </c>
      <c r="AV14" s="87">
        <f t="shared" si="1"/>
        <v>0</v>
      </c>
      <c r="AW14" s="87">
        <f t="shared" si="1"/>
        <v>0</v>
      </c>
      <c r="AX14" s="87">
        <f t="shared" si="1"/>
        <v>0</v>
      </c>
      <c r="AY14" s="87">
        <f t="shared" si="1"/>
        <v>0</v>
      </c>
      <c r="AZ14" s="87">
        <f t="shared" si="1"/>
        <v>0</v>
      </c>
      <c r="BA14" s="87">
        <f t="shared" si="1"/>
        <v>0</v>
      </c>
      <c r="BB14" s="87">
        <f t="shared" si="1"/>
        <v>0</v>
      </c>
      <c r="BC14" s="87">
        <f t="shared" si="1"/>
        <v>0</v>
      </c>
      <c r="BD14" s="87">
        <f t="shared" si="1"/>
        <v>0</v>
      </c>
      <c r="BE14" s="87">
        <f t="shared" si="1"/>
        <v>0</v>
      </c>
      <c r="BF14" s="87">
        <f t="shared" si="1"/>
        <v>0</v>
      </c>
      <c r="BG14" s="87">
        <f t="shared" si="1"/>
        <v>0</v>
      </c>
      <c r="BH14" s="87">
        <f t="shared" si="1"/>
        <v>0</v>
      </c>
      <c r="BI14" s="87">
        <f t="shared" si="1"/>
        <v>0</v>
      </c>
      <c r="BJ14" s="87">
        <f t="shared" si="1"/>
        <v>0</v>
      </c>
      <c r="BK14" s="90"/>
    </row>
    <row r="15" spans="1:63" x14ac:dyDescent="0.2">
      <c r="A15" s="87" t="s">
        <v>188</v>
      </c>
      <c r="B15" s="87" t="s">
        <v>191</v>
      </c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1"/>
      <c r="BK15" s="90"/>
    </row>
    <row r="16" spans="1:63" x14ac:dyDescent="0.2">
      <c r="A16" s="87" t="s">
        <v>188</v>
      </c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0"/>
    </row>
    <row r="17" spans="1:63" x14ac:dyDescent="0.2">
      <c r="A17" s="87" t="s">
        <v>188</v>
      </c>
      <c r="B17" s="87" t="s">
        <v>56</v>
      </c>
      <c r="C17" s="87">
        <v>1700</v>
      </c>
      <c r="D17" s="87">
        <f>C24</f>
        <v>1703.54</v>
      </c>
      <c r="E17" s="87">
        <f t="shared" ref="E17:BJ17" si="2">D24</f>
        <v>5715.42</v>
      </c>
      <c r="F17" s="87">
        <f t="shared" si="2"/>
        <v>9735.66</v>
      </c>
      <c r="G17" s="87">
        <v>15267.4</v>
      </c>
      <c r="H17" s="87">
        <f>G24</f>
        <v>21812.75</v>
      </c>
      <c r="I17" s="87">
        <v>21881.95</v>
      </c>
      <c r="J17" s="87">
        <f t="shared" si="2"/>
        <v>23420.639999999999</v>
      </c>
      <c r="K17" s="87">
        <v>18548</v>
      </c>
      <c r="L17" s="87">
        <v>18548</v>
      </c>
      <c r="M17" s="87">
        <f t="shared" si="2"/>
        <v>24589.119999999999</v>
      </c>
      <c r="N17" s="87">
        <f t="shared" si="2"/>
        <v>25632.41</v>
      </c>
      <c r="O17" s="87">
        <f t="shared" si="2"/>
        <v>26677.87</v>
      </c>
      <c r="P17" s="87">
        <f>O24</f>
        <v>19718.87</v>
      </c>
      <c r="Q17" s="87">
        <f t="shared" si="2"/>
        <v>19759.95</v>
      </c>
      <c r="R17" s="87">
        <f t="shared" si="2"/>
        <v>19801.12</v>
      </c>
      <c r="S17" s="87">
        <f t="shared" si="2"/>
        <v>19842.37</v>
      </c>
      <c r="T17" s="87">
        <f t="shared" si="2"/>
        <v>19883.71</v>
      </c>
      <c r="U17" s="87">
        <f t="shared" si="2"/>
        <v>19925.13</v>
      </c>
      <c r="V17" s="87">
        <f t="shared" si="2"/>
        <v>12952.06</v>
      </c>
      <c r="W17" s="87">
        <f t="shared" si="2"/>
        <v>12979.04</v>
      </c>
      <c r="X17" s="87">
        <f t="shared" si="2"/>
        <v>13006.08</v>
      </c>
      <c r="Y17" s="87">
        <f t="shared" si="2"/>
        <v>13033.18</v>
      </c>
      <c r="Z17" s="87">
        <f t="shared" si="2"/>
        <v>13060.33</v>
      </c>
      <c r="AA17" s="87">
        <f t="shared" si="2"/>
        <v>13087.54</v>
      </c>
      <c r="AB17" s="87">
        <f t="shared" si="2"/>
        <v>13114.81</v>
      </c>
      <c r="AC17" s="87">
        <f t="shared" si="2"/>
        <v>13142.13</v>
      </c>
      <c r="AD17" s="87">
        <f t="shared" si="2"/>
        <v>13169.51</v>
      </c>
      <c r="AE17" s="87">
        <f t="shared" si="2"/>
        <v>13196.95</v>
      </c>
      <c r="AF17" s="87">
        <f t="shared" si="2"/>
        <v>13224.44</v>
      </c>
      <c r="AG17" s="87">
        <f t="shared" si="2"/>
        <v>13251.99</v>
      </c>
      <c r="AH17" s="87">
        <f t="shared" si="2"/>
        <v>6265.01</v>
      </c>
      <c r="AI17" s="87">
        <f t="shared" si="2"/>
        <v>6278.06</v>
      </c>
      <c r="AJ17" s="87">
        <f t="shared" si="2"/>
        <v>6291.14</v>
      </c>
      <c r="AK17" s="87">
        <f t="shared" si="2"/>
        <v>6304.25</v>
      </c>
      <c r="AL17" s="87">
        <f t="shared" si="2"/>
        <v>6317.38</v>
      </c>
      <c r="AM17" s="87">
        <f t="shared" si="2"/>
        <v>6330.54</v>
      </c>
      <c r="AN17" s="87">
        <f t="shared" si="2"/>
        <v>6343.73</v>
      </c>
      <c r="AO17" s="87">
        <f t="shared" si="2"/>
        <v>6356.95</v>
      </c>
      <c r="AP17" s="87">
        <f t="shared" si="2"/>
        <v>6370.19</v>
      </c>
      <c r="AQ17" s="87">
        <f t="shared" si="2"/>
        <v>6383.46</v>
      </c>
      <c r="AR17" s="87">
        <f t="shared" si="2"/>
        <v>6396.76</v>
      </c>
      <c r="AS17" s="87">
        <f t="shared" si="2"/>
        <v>6410.09</v>
      </c>
      <c r="AT17" s="87">
        <f t="shared" si="2"/>
        <v>-591.14</v>
      </c>
      <c r="AU17" s="87">
        <f t="shared" si="2"/>
        <v>-592.37</v>
      </c>
      <c r="AV17" s="87">
        <f t="shared" si="2"/>
        <v>-593.6</v>
      </c>
      <c r="AW17" s="87">
        <f t="shared" si="2"/>
        <v>-594.84</v>
      </c>
      <c r="AX17" s="87">
        <f t="shared" si="2"/>
        <v>-596.08000000000004</v>
      </c>
      <c r="AY17" s="87">
        <f t="shared" si="2"/>
        <v>-597.32000000000005</v>
      </c>
      <c r="AZ17" s="87">
        <f t="shared" si="2"/>
        <v>-598.55999999999995</v>
      </c>
      <c r="BA17" s="87">
        <f t="shared" si="2"/>
        <v>-599.80999999999995</v>
      </c>
      <c r="BB17" s="87">
        <f t="shared" si="2"/>
        <v>-601.05999999999995</v>
      </c>
      <c r="BC17" s="87">
        <f t="shared" si="2"/>
        <v>-602.30999999999995</v>
      </c>
      <c r="BD17" s="87">
        <f t="shared" si="2"/>
        <v>-603.55999999999995</v>
      </c>
      <c r="BE17" s="87">
        <f t="shared" si="2"/>
        <v>-604.82000000000005</v>
      </c>
      <c r="BF17" s="87">
        <f t="shared" si="2"/>
        <v>4404.34</v>
      </c>
      <c r="BG17" s="87">
        <f t="shared" si="2"/>
        <v>9423.93</v>
      </c>
      <c r="BH17" s="87">
        <f t="shared" si="2"/>
        <v>14453.98</v>
      </c>
      <c r="BI17" s="87">
        <f t="shared" si="2"/>
        <v>19494.509999999998</v>
      </c>
      <c r="BJ17" s="87">
        <f t="shared" si="2"/>
        <v>24545.54</v>
      </c>
      <c r="BK17" s="90"/>
    </row>
    <row r="18" spans="1:63" x14ac:dyDescent="0.2">
      <c r="A18" s="92" t="s">
        <v>192</v>
      </c>
      <c r="B18" s="92" t="s">
        <v>193</v>
      </c>
      <c r="C18" s="92"/>
      <c r="D18" s="92"/>
      <c r="E18" s="92"/>
      <c r="F18" s="92"/>
      <c r="G18" s="92"/>
      <c r="H18" s="93">
        <v>5000</v>
      </c>
      <c r="I18" s="92"/>
      <c r="J18" s="92"/>
      <c r="K18" s="92"/>
      <c r="L18" s="92"/>
      <c r="M18" s="92"/>
      <c r="N18" s="92"/>
      <c r="O18" s="92">
        <v>7000</v>
      </c>
      <c r="P18" s="92"/>
      <c r="Q18" s="92"/>
      <c r="R18" s="92"/>
      <c r="S18" s="92"/>
      <c r="T18" s="92"/>
      <c r="U18" s="92">
        <f>$B$5+$B$6</f>
        <v>7000</v>
      </c>
      <c r="V18" s="92"/>
      <c r="W18" s="92"/>
      <c r="X18" s="92"/>
      <c r="Y18" s="92"/>
      <c r="Z18" s="92"/>
      <c r="AA18" s="94"/>
      <c r="AB18" s="92"/>
      <c r="AC18" s="92"/>
      <c r="AD18" s="92"/>
      <c r="AE18" s="92"/>
      <c r="AF18" s="92"/>
      <c r="AG18" s="92">
        <v>7000</v>
      </c>
      <c r="AH18" s="92"/>
      <c r="AI18" s="92"/>
      <c r="AJ18" s="92"/>
      <c r="AK18" s="92"/>
      <c r="AL18" s="92"/>
      <c r="AM18" s="94"/>
      <c r="AN18" s="94"/>
      <c r="AO18" s="94"/>
      <c r="AP18" s="94"/>
      <c r="AQ18" s="94"/>
      <c r="AR18" s="94"/>
      <c r="AS18" s="92">
        <v>7000</v>
      </c>
      <c r="AT18" s="92"/>
      <c r="AU18" s="92"/>
      <c r="AV18" s="92"/>
      <c r="AW18" s="92"/>
      <c r="AX18" s="92"/>
      <c r="AY18" s="94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3"/>
    </row>
    <row r="19" spans="1:63" x14ac:dyDescent="0.2">
      <c r="A19" s="92" t="s">
        <v>192</v>
      </c>
      <c r="B19" s="92" t="s">
        <v>194</v>
      </c>
      <c r="C19" s="92"/>
      <c r="D19" s="92"/>
      <c r="E19" s="92"/>
      <c r="F19" s="92"/>
      <c r="G19" s="92"/>
      <c r="H19" s="92"/>
      <c r="I19" s="93">
        <v>4010</v>
      </c>
      <c r="J19" s="92">
        <v>4010</v>
      </c>
      <c r="K19" s="92">
        <v>4010</v>
      </c>
      <c r="L19" s="92">
        <v>4010</v>
      </c>
      <c r="M19" s="92">
        <v>4010</v>
      </c>
      <c r="N19" s="92">
        <v>4010</v>
      </c>
      <c r="O19" s="92">
        <v>5000</v>
      </c>
      <c r="P19" s="92">
        <v>5000</v>
      </c>
      <c r="Q19" s="92">
        <v>5000</v>
      </c>
      <c r="R19" s="92">
        <v>5000</v>
      </c>
      <c r="S19" s="92">
        <v>5000</v>
      </c>
      <c r="T19" s="92">
        <v>5000</v>
      </c>
      <c r="U19" s="92">
        <v>5000</v>
      </c>
      <c r="V19" s="92">
        <v>5000</v>
      </c>
      <c r="W19" s="92">
        <v>5000</v>
      </c>
      <c r="X19" s="92">
        <v>5000</v>
      </c>
      <c r="Y19" s="92">
        <v>5000</v>
      </c>
      <c r="Z19" s="92">
        <v>5000</v>
      </c>
      <c r="AA19" s="92">
        <v>5000</v>
      </c>
      <c r="AB19" s="92">
        <v>5000</v>
      </c>
      <c r="AC19" s="92">
        <v>5000</v>
      </c>
      <c r="AD19" s="92">
        <v>5000</v>
      </c>
      <c r="AE19" s="92">
        <v>5000</v>
      </c>
      <c r="AF19" s="92">
        <v>5000</v>
      </c>
      <c r="AG19" s="92">
        <v>5000</v>
      </c>
      <c r="AH19" s="92">
        <v>5000</v>
      </c>
      <c r="AI19" s="92">
        <v>5000</v>
      </c>
      <c r="AJ19" s="92">
        <v>5000</v>
      </c>
      <c r="AK19" s="92">
        <v>5000</v>
      </c>
      <c r="AL19" s="92">
        <v>5000</v>
      </c>
      <c r="AM19" s="92">
        <v>5000</v>
      </c>
      <c r="AN19" s="92">
        <v>5000</v>
      </c>
      <c r="AO19" s="92">
        <v>5000</v>
      </c>
      <c r="AP19" s="92">
        <v>5000</v>
      </c>
      <c r="AQ19" s="92">
        <v>5000</v>
      </c>
      <c r="AR19" s="92">
        <v>5000</v>
      </c>
      <c r="AS19" s="92">
        <v>5000</v>
      </c>
      <c r="AT19" s="92">
        <v>5000</v>
      </c>
      <c r="AU19" s="92">
        <v>5000</v>
      </c>
      <c r="AV19" s="92">
        <v>5000</v>
      </c>
      <c r="AW19" s="92">
        <v>5000</v>
      </c>
      <c r="AX19" s="92">
        <v>5000</v>
      </c>
      <c r="AY19" s="92">
        <v>5000</v>
      </c>
      <c r="AZ19" s="92">
        <v>5000</v>
      </c>
      <c r="BA19" s="92">
        <v>5000</v>
      </c>
      <c r="BB19" s="92">
        <v>5000</v>
      </c>
      <c r="BC19" s="92">
        <v>5000</v>
      </c>
      <c r="BD19" s="92">
        <v>5000</v>
      </c>
      <c r="BE19" s="94"/>
      <c r="BF19" s="94"/>
      <c r="BG19" s="94"/>
      <c r="BH19" s="94"/>
      <c r="BI19" s="94"/>
      <c r="BJ19" s="94"/>
      <c r="BK19" s="3"/>
    </row>
    <row r="20" spans="1:63" x14ac:dyDescent="0.2">
      <c r="A20" s="92" t="s">
        <v>192</v>
      </c>
      <c r="B20" s="92" t="s">
        <v>195</v>
      </c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3"/>
    </row>
    <row r="21" spans="1:63" x14ac:dyDescent="0.2">
      <c r="A21" s="92" t="s">
        <v>192</v>
      </c>
      <c r="B21" s="92" t="s">
        <v>196</v>
      </c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3"/>
    </row>
    <row r="22" spans="1:63" x14ac:dyDescent="0.2">
      <c r="A22" s="95"/>
      <c r="B22" s="95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6"/>
      <c r="BF22" s="96"/>
      <c r="BG22" s="96"/>
      <c r="BH22" s="96"/>
      <c r="BI22" s="96"/>
      <c r="BJ22" s="96"/>
      <c r="BK22" s="3"/>
    </row>
    <row r="23" spans="1:63" x14ac:dyDescent="0.2">
      <c r="A23" t="s">
        <v>197</v>
      </c>
      <c r="C23">
        <f>(SUMIF(Table143911[Type],"Income",Table143911[Jan-25])-SUMIF(Table143911[Type],"Expense",Table143911[Jan-25]))</f>
        <v>1700</v>
      </c>
      <c r="D23">
        <f>SUMIF(Table143911[Type],"Income",Table143911[Feb-25])-SUMIF(Table143911[Type],"Expense",Table143911[Feb-25])</f>
        <v>5703.54</v>
      </c>
      <c r="E23">
        <f>SUMIF(Table143911[Type],"Income",Table143911[Mar-25])-SUMIF(Table143911[Type],"Expense",Table143911[Mar-25])</f>
        <v>9715.42</v>
      </c>
      <c r="F23">
        <f>SUMIF(Table143911[Type],"Income",Table143911[Apr-25])-SUMIF(Table143911[Type],"Expense",Table143911[Apr-25])</f>
        <v>13735.66</v>
      </c>
      <c r="G23">
        <f>SUMIF(Table143911[Type],"Income",Table143911[May-25])-SUMIF(Table143911[Type],"Expense",Table143911[May-25])</f>
        <v>21767.4</v>
      </c>
      <c r="H23">
        <f>SUMIF(Table143911[Type],"Income",Table143911[Jun-25])-SUMIF(Table143911[Type],"Expense",Table143911[Jun-25])</f>
        <v>21812.75</v>
      </c>
      <c r="I23">
        <f>SUMIF(Table143911[Type],"Income",Table143911[Jul-25])-SUMIF(Table143911[Type],"Expense",Table143911[Jul-25])</f>
        <v>23371.95</v>
      </c>
      <c r="J23">
        <f>SUMIF(Table143911[Type],"Income",Table143911[Aug-25])-SUMIF(Table143911[Type],"Expense",Table143911[Aug-25])</f>
        <v>19410.64</v>
      </c>
      <c r="K23">
        <f>SUMIF(Table143911[Type],"Income",Table143911[Sep-25])-SUMIF(Table143911[Type],"Expense",Table143911[Sep-25])</f>
        <v>14538</v>
      </c>
      <c r="L23">
        <f>SUMIF(Table143911[Type],"Income",Table143911[Oct-25])-SUMIF(Table143911[Type],"Expense",Table143911[Oct-25])</f>
        <v>24538</v>
      </c>
      <c r="M23">
        <f>SUMIF(Table143911[Type],"Income",Table143911[Nov-25])-SUMIF(Table143911[Type],"Expense",Table143911[Nov-25])</f>
        <v>25579.119999999999</v>
      </c>
      <c r="N23">
        <f>SUMIF(Table143911[Type],"Income",Table143911[Dec-25])-SUMIF(Table143911[Type],"Expense",Table143911[Dec-25])</f>
        <v>26622.41</v>
      </c>
      <c r="O23">
        <f>SUMIF(Table143911[Type],"Income",Table143911[Jan-26])-SUMIF(Table143911[Type],"Expense",Table143911[Jan-26])</f>
        <v>19677.87</v>
      </c>
      <c r="P23">
        <f>SUMIF(Table143911[Type],"Income",Table143911[Feb-26])-SUMIF(Table143911[Type],"Expense",Table143911[Feb-26])</f>
        <v>19718.87</v>
      </c>
      <c r="Q23">
        <f>SUMIF(Table143911[Type],"Income",Table143911[Mar-26])-SUMIF(Table143911[Type],"Expense",Table143911[Mar-26])</f>
        <v>19759.95</v>
      </c>
      <c r="R23">
        <f>SUMIF(Table143911[Type],"Income",Table143911[Apr-26])-SUMIF(Table143911[Type],"Expense",Table143911[Apr-26])</f>
        <v>19801.12</v>
      </c>
      <c r="S23">
        <f>SUMIF(Table143911[Type],"Income",Table143911[May-26])-SUMIF(Table143911[Type],"Expense",Table143911[May-26])</f>
        <v>19842.37</v>
      </c>
      <c r="T23">
        <f>SUMIF(Table143911[Type],"Income",Table143911[Jun-26])-SUMIF(Table143911[Type],"Expense",Table143911[Jun-26])</f>
        <v>19883.71</v>
      </c>
      <c r="U23">
        <f>SUMIF(Table143911[Type],"Income",Table143911[Jul-26])-SUMIF(Table143911[Type],"Expense",Table143911[Jul-26])</f>
        <v>12925.130000000001</v>
      </c>
      <c r="V23">
        <f>SUMIF(Table143911[Type],"Income",Table143911[Aug-26])-SUMIF(Table143911[Type],"Expense",Table143911[Aug-26])</f>
        <v>12952.059999999998</v>
      </c>
      <c r="W23">
        <f>SUMIF(Table143911[Type],"Income",Table143911[Sep-26])-SUMIF(Table143911[Type],"Expense",Table143911[Sep-26])</f>
        <v>12979.04</v>
      </c>
      <c r="X23">
        <f>SUMIF(Table143911[Type],"Income",Table143911[Oct-26])-SUMIF(Table143911[Type],"Expense",Table143911[Oct-26])</f>
        <v>13006.080000000002</v>
      </c>
      <c r="Y23">
        <f>SUMIF(Table143911[Type],"Income",Table143911[Nov-26])-SUMIF(Table143911[Type],"Expense",Table143911[Nov-26])</f>
        <v>13033.18</v>
      </c>
      <c r="Z23">
        <f>SUMIF(Table143911[Type],"Income",Table143911[Dec-26])-SUMIF(Table143911[Type],"Expense",Table143911[Dec-26])</f>
        <v>13060.330000000002</v>
      </c>
      <c r="AA23">
        <f>SUMIF(Table143911[Type],"Income",Table143911[Jan-27])-SUMIF(Table143911[Type],"Expense",Table143911[Jan-27])</f>
        <v>13087.54</v>
      </c>
      <c r="AB23">
        <f>SUMIF(Table143911[Type],"Income",Table143911[Feb-27])-SUMIF(Table143911[Type],"Expense",Table143911[Feb-27])</f>
        <v>13114.809999999998</v>
      </c>
      <c r="AC23">
        <f>SUMIF(Table143911[Type],"Income",Table143911[Mar-27])-SUMIF(Table143911[Type],"Expense",Table143911[Mar-27])</f>
        <v>13142.129999999997</v>
      </c>
      <c r="AD23">
        <f>SUMIF(Table143911[Type],"Income",Table143911[Apr-27])-SUMIF(Table143911[Type],"Expense",Table143911[Apr-27])</f>
        <v>13169.510000000002</v>
      </c>
      <c r="AE23">
        <f>SUMIF(Table143911[Type],"Income",Table143911[May-27])-SUMIF(Table143911[Type],"Expense",Table143911[May-27])</f>
        <v>13196.95</v>
      </c>
      <c r="AF23">
        <f>SUMIF(Table143911[Type],"Income",Table143911[Jun-27])-SUMIF(Table143911[Type],"Expense",Table143911[Jun-27])</f>
        <v>13224.440000000002</v>
      </c>
      <c r="AG23">
        <f>SUMIF(Table143911[Type],"Income",Table143911[Jul-27])-SUMIF(Table143911[Type],"Expense",Table143911[Jul-27])</f>
        <v>6251.989999999998</v>
      </c>
      <c r="AH23">
        <f>SUMIF(Table143911[Type],"Income",Table143911[Aug-27])-SUMIF(Table143911[Type],"Expense",Table143911[Aug-27])</f>
        <v>6265.01</v>
      </c>
      <c r="AI23">
        <f>SUMIF(Table143911[Type],"Income",Table143911[Sep-27])-SUMIF(Table143911[Type],"Expense",Table143911[Sep-27])</f>
        <v>6278.0600000000013</v>
      </c>
      <c r="AJ23">
        <f>SUMIF(Table143911[Type],"Income",Table143911[Oct-27])-SUMIF(Table143911[Type],"Expense",Table143911[Oct-27])</f>
        <v>6291.1399999999994</v>
      </c>
      <c r="AK23">
        <f>SUMIF(Table143911[Type],"Income",Table143911[Nov-27])-SUMIF(Table143911[Type],"Expense",Table143911[Nov-27])</f>
        <v>6304.25</v>
      </c>
      <c r="AL23">
        <f>SUMIF(Table143911[Type],"Income",Table143911[Dec-27])-SUMIF(Table143911[Type],"Expense",Table143911[Dec-27])</f>
        <v>6317.380000000001</v>
      </c>
      <c r="AM23">
        <f>SUMIF(Table143911[Type], "Income",Table143911[Jan-28])-SUMIF(Table143911[Type], "Expense",Table143911[Jan-28])</f>
        <v>6330.5400000000009</v>
      </c>
      <c r="AN23">
        <f>SUMIF(Table143911[Type], "Income",Table143911[Feb-28])-SUMIF(Table143911[Type], "Expense",Table143911[Feb-28])</f>
        <v>6343.73</v>
      </c>
      <c r="AO23">
        <f>SUMIF(Table143911[Type], "Income",Table143911[Mar-28])-SUMIF(Table143911[Type], "Expense",Table143911[Mar-28])</f>
        <v>6356.9500000000007</v>
      </c>
      <c r="AP23">
        <f>SUMIF(Table143911[Type], "Income",Table143911[Apr-28])-SUMIF(Table143911[Type], "Expense",Table143911[Apr-28])</f>
        <v>6370.1899999999987</v>
      </c>
      <c r="AQ23">
        <f>SUMIF(Table143911[Type], "Income",Table143911[May-28])-SUMIF(Table143911[Type], "Expense",Table143911[May-28])</f>
        <v>6383.4599999999991</v>
      </c>
      <c r="AR23">
        <f>SUMIF(Table143911[Type], "Income",Table143911[Jun-28])-SUMIF(Table143911[Type], "Expense",Table143911[Jun-28])</f>
        <v>6396.76</v>
      </c>
      <c r="AS23">
        <f>SUMIF(Table143911[Type], "Income",Table143911[Jul-28])-SUMIF(Table143911[Type], "Expense",Table143911[Jul-28])</f>
        <v>-589.90999999999985</v>
      </c>
      <c r="AT23">
        <f>SUMIF(Table143911[Type], "Income",Table143911[Aug-28])-SUMIF(Table143911[Type], "Expense",Table143911[Aug-28])</f>
        <v>-591.14000000000033</v>
      </c>
      <c r="AU23">
        <f>SUMIF(Table143911[Type], "Income",Table143911[Sep-28])-SUMIF(Table143911[Type], "Expense",Table143911[Sep-28])</f>
        <v>-592.36999999999989</v>
      </c>
      <c r="AV23">
        <f>SUMIF(Table143911[Type], "Income",Table143911[Oct-28])-SUMIF(Table143911[Type], "Expense",Table143911[Oct-28])</f>
        <v>-593.60000000000036</v>
      </c>
      <c r="AW23">
        <f>SUMIF(Table143911[Type], "Income",Table143911[Nov-28])-SUMIF(Table143911[Type], "Expense",Table143911[Nov-28])</f>
        <v>-594.84000000000015</v>
      </c>
      <c r="AX23">
        <f>SUMIF(Table143911[Type], "Income",Table143911[Dec-28])-SUMIF(Table143911[Type], "Expense",Table143911[Dec-28])</f>
        <v>-596.07999999999993</v>
      </c>
      <c r="AY23">
        <f>SUMIF(Table143911[Type], "Income",Table143911[Jan-29])-SUMIF(Table143911[Type], "Expense",Table143911[Jan-29])</f>
        <v>-597.31999999999971</v>
      </c>
      <c r="AZ23">
        <f>SUMIF(Table143911[Type], "Income",Table143911[Feb-29])-SUMIF(Table143911[Type], "Expense",Table143911[Feb-29])</f>
        <v>-598.55999999999949</v>
      </c>
      <c r="BA23">
        <f>SUMIF(Table143911[Type], "Income",Table143911[Mar-29])-SUMIF(Table143911[Type], "Expense",Table143911[Mar-29])</f>
        <v>-599.80999999999949</v>
      </c>
      <c r="BB23">
        <f>SUMIF(Table143911[Type], "Income",Table143911[Apr-29])-SUMIF(Table143911[Type], "Expense",Table143911[Apr-29])</f>
        <v>-601.05999999999949</v>
      </c>
      <c r="BC23">
        <f>SUMIF(Table143911[Type], "Income",Table143911[May-29])-SUMIF(Table143911[Type], "Expense",Table143911[May-29])</f>
        <v>-602.30999999999949</v>
      </c>
      <c r="BD23">
        <f>SUMIF(Table143911[Type], "Income",Table143911[Jun-29])-SUMIF(Table143911[Type], "Expense",Table143911[Jun-29])</f>
        <v>-603.55999999999949</v>
      </c>
      <c r="BE23">
        <f>SUMIF(Table143911[Type], "Income",Table143911[Jul-29])-SUMIF(Table143911[Type], "Expense",Table143911[Jul-29])</f>
        <v>4395.18</v>
      </c>
      <c r="BF23">
        <f>SUMIF(Table143911[Type], "Income",Table143911[Aug-29])-SUMIF(Table143911[Type], "Expense",Table143911[Aug-29])</f>
        <v>9404.34</v>
      </c>
      <c r="BG23">
        <f>SUMIF(Table143911[Type], "Income",Table143911[Sep-29])-SUMIF(Table143911[Type], "Expense",Table143911[Sep-29])</f>
        <v>14423.93</v>
      </c>
      <c r="BH23">
        <f>SUMIF(Table143911[Type], "Income",Table143911[Oct-29])-SUMIF(Table143911[Type], "Expense",Table143911[Oct-29])</f>
        <v>19453.98</v>
      </c>
      <c r="BI23">
        <f>SUMIF(Table143911[Type], "Income",Table143911[Nov-29])-SUMIF(Table143911[Type], "Expense",Table143911[Nov-29])</f>
        <v>24494.51</v>
      </c>
      <c r="BJ23">
        <f>SUMIF(Table143911[Type], "Income",Table143911[Dec-29])-SUMIF(Table143911[Type], "Expense",Table143911[Dec-29])</f>
        <v>29545.54</v>
      </c>
    </row>
    <row r="24" spans="1:63" x14ac:dyDescent="0.2">
      <c r="A24" s="1" t="s">
        <v>198</v>
      </c>
      <c r="B24" s="1"/>
      <c r="C24" s="1">
        <f>ROUND(Table143911[[#Totals],[Jan-25]]*$B$3,2)</f>
        <v>1703.54</v>
      </c>
      <c r="D24" s="1">
        <f>ROUND(Table143911[[#Totals],[Feb-25]]*$B$3,2)</f>
        <v>5715.42</v>
      </c>
      <c r="E24" s="1">
        <f>ROUND(Table143911[[#Totals],[Mar-25]]*$B$3,2)</f>
        <v>9735.66</v>
      </c>
      <c r="F24" s="1">
        <f>ROUND(Table143911[[#Totals],[Apr-25]]*$B$3,2)</f>
        <v>13764.28</v>
      </c>
      <c r="G24" s="1">
        <f>ROUND(Table143911[[#Totals],[May-25]]*$B$3,2)</f>
        <v>21812.75</v>
      </c>
      <c r="H24" s="1">
        <f>ROUND(Table143911[[#Totals],[Jun-25]]*$B$3,2)</f>
        <v>21858.19</v>
      </c>
      <c r="I24" s="1">
        <f>ROUND(Table143911[[#Totals],[Jul-25]]*$B$3,2)</f>
        <v>23420.639999999999</v>
      </c>
      <c r="J24" s="1">
        <f>ROUND(Table143911[[#Totals],[Aug-25]]*$B$3,2)</f>
        <v>19451.080000000002</v>
      </c>
      <c r="K24" s="1">
        <f>ROUND(Table143911[[#Totals],[Sep-25]]*$B$3,2)</f>
        <v>14568.29</v>
      </c>
      <c r="L24" s="1">
        <f>ROUND(Table143911[[#Totals],[Oct-25]]*$B$3,2)</f>
        <v>24589.119999999999</v>
      </c>
      <c r="M24" s="1">
        <f>ROUND(Table143911[[#Totals],[Nov-25]]*$B$3,2)</f>
        <v>25632.41</v>
      </c>
      <c r="N24" s="1">
        <f>ROUND(Table143911[[#Totals],[Dec-25]]*$B$3,2)</f>
        <v>26677.87</v>
      </c>
      <c r="O24" s="1">
        <f>ROUND(Table143911[[#Totals],[Jan-26]]*$B$3,2)</f>
        <v>19718.87</v>
      </c>
      <c r="P24" s="1">
        <f>ROUND(Table143911[[#Totals],[Feb-26]]*$B$3,2)</f>
        <v>19759.95</v>
      </c>
      <c r="Q24" s="1">
        <f>ROUND(Table143911[[#Totals],[Mar-26]]*$B$3,2)</f>
        <v>19801.12</v>
      </c>
      <c r="R24" s="1">
        <f>ROUND(Table143911[[#Totals],[Apr-26]]*$B$3,2)</f>
        <v>19842.37</v>
      </c>
      <c r="S24" s="1">
        <f>ROUND(Table143911[[#Totals],[May-26]]*$B$3,2)</f>
        <v>19883.71</v>
      </c>
      <c r="T24" s="1">
        <f>ROUND(Table143911[[#Totals],[Jun-26]]*$B$3,2)</f>
        <v>19925.13</v>
      </c>
      <c r="U24" s="1">
        <f>ROUND(Table143911[[#Totals],[Jul-26]]*$B$3,2)</f>
        <v>12952.06</v>
      </c>
      <c r="V24" s="1">
        <f>ROUND(Table143911[[#Totals],[Aug-26]]*$B$3,2)</f>
        <v>12979.04</v>
      </c>
      <c r="W24" s="1">
        <f>ROUND(Table143911[[#Totals],[Sep-26]]*$B$3,2)</f>
        <v>13006.08</v>
      </c>
      <c r="X24" s="1">
        <f>ROUND(Table143911[[#Totals],[Oct-26]]*$B$3,2)</f>
        <v>13033.18</v>
      </c>
      <c r="Y24" s="1">
        <f>ROUND(Table143911[[#Totals],[Nov-26]]*$B$3,2)</f>
        <v>13060.33</v>
      </c>
      <c r="Z24" s="1">
        <f>ROUND(Table143911[[#Totals],[Dec-26]]*$B$3,2)</f>
        <v>13087.54</v>
      </c>
      <c r="AA24" s="1">
        <f>ROUND(Table143911[[#Totals],[Jan-27]]*$B$3,2)</f>
        <v>13114.81</v>
      </c>
      <c r="AB24" s="1">
        <f>ROUND(Table143911[[#Totals],[Feb-27]]*$B$3,2)</f>
        <v>13142.13</v>
      </c>
      <c r="AC24" s="1">
        <f>ROUND(Table143911[[#Totals],[Mar-27]]*$B$3,2)</f>
        <v>13169.51</v>
      </c>
      <c r="AD24" s="1">
        <f>ROUND(Table143911[[#Totals],[Apr-27]]*$B$3,2)</f>
        <v>13196.95</v>
      </c>
      <c r="AE24" s="1">
        <f>ROUND(Table143911[[#Totals],[May-27]]*$B$3,2)</f>
        <v>13224.44</v>
      </c>
      <c r="AF24" s="1">
        <f>ROUND(Table143911[[#Totals],[Jun-27]]*$B$3,2)</f>
        <v>13251.99</v>
      </c>
      <c r="AG24" s="1">
        <f>ROUND(Table143911[[#Totals],[Jul-27]]*$B$3,2)</f>
        <v>6265.01</v>
      </c>
      <c r="AH24" s="1">
        <f>ROUND(Table143911[[#Totals],[Aug-27]]*$B$3,2)</f>
        <v>6278.06</v>
      </c>
      <c r="AI24" s="1">
        <f>ROUND(Table143911[[#Totals],[Sep-27]]*$B$3,2)</f>
        <v>6291.14</v>
      </c>
      <c r="AJ24" s="1">
        <f>ROUND(Table143911[[#Totals],[Oct-27]]*$B$3,2)</f>
        <v>6304.25</v>
      </c>
      <c r="AK24" s="1">
        <f>ROUND(Table143911[[#Totals],[Nov-27]]*$B$3,2)</f>
        <v>6317.38</v>
      </c>
      <c r="AL24" s="1">
        <f>ROUND(Table143911[[#Totals],[Dec-27]]*$B$3,2)</f>
        <v>6330.54</v>
      </c>
      <c r="AM24">
        <f>ROUND(Table143911[[#Totals],[Jan-28]]*$B$3,2)</f>
        <v>6343.73</v>
      </c>
      <c r="AN24">
        <f>ROUND(Table143911[[#Totals],[Feb-28]]*$B$3,2)</f>
        <v>6356.95</v>
      </c>
      <c r="AO24">
        <f>ROUND(Table143911[[#Totals],[Mar-28]]*$B$3,2)</f>
        <v>6370.19</v>
      </c>
      <c r="AP24">
        <f>ROUND(Table143911[[#Totals],[Apr-28]]*$B$3,2)</f>
        <v>6383.46</v>
      </c>
      <c r="AQ24">
        <f>ROUND(Table143911[[#Totals],[May-28]]*$B$3,2)</f>
        <v>6396.76</v>
      </c>
      <c r="AR24">
        <f>ROUND(Table143911[[#Totals],[Jun-28]]*$B$3,2)</f>
        <v>6410.09</v>
      </c>
      <c r="AS24">
        <f>ROUND(Table143911[[#Totals],[Jul-28]]*$B$3,2)</f>
        <v>-591.14</v>
      </c>
      <c r="AT24">
        <f>ROUND(Table143911[[#Totals],[Aug-28]]*$B$3,2)</f>
        <v>-592.37</v>
      </c>
      <c r="AU24">
        <f>ROUND(Table143911[[#Totals],[Sep-28]]*$B$3,2)</f>
        <v>-593.6</v>
      </c>
      <c r="AV24">
        <f>ROUND(Table143911[[#Totals],[Oct-28]]*$B$3,2)</f>
        <v>-594.84</v>
      </c>
      <c r="AW24">
        <f>ROUND(Table143911[[#Totals],[Nov-28]]*$B$3,2)</f>
        <v>-596.08000000000004</v>
      </c>
      <c r="AX24">
        <f>ROUND(Table143911[[#Totals],[Dec-28]]*$B$3,2)</f>
        <v>-597.32000000000005</v>
      </c>
      <c r="AY24">
        <f>ROUND(Table143911[[#Totals],[Jan-29]]*$B$3,2)</f>
        <v>-598.55999999999995</v>
      </c>
      <c r="AZ24">
        <f>ROUND(Table143911[[#Totals],[Feb-29]]*$B$3,2)</f>
        <v>-599.80999999999995</v>
      </c>
      <c r="BA24">
        <f>ROUND(Table143911[[#Totals],[Mar-29]]*$B$3,2)</f>
        <v>-601.05999999999995</v>
      </c>
      <c r="BB24">
        <f>ROUND(Table143911[[#Totals],[Apr-29]]*$B$3,2)</f>
        <v>-602.30999999999995</v>
      </c>
      <c r="BC24">
        <f>ROUND(Table143911[[#Totals],[May-29]]*$B$3,2)</f>
        <v>-603.55999999999995</v>
      </c>
      <c r="BD24">
        <f>ROUND(Table143911[[#Totals],[Jun-29]]*$B$3,2)</f>
        <v>-604.82000000000005</v>
      </c>
      <c r="BE24">
        <f>ROUND(Table143911[[#Totals],[Jul-29]]*$B$3,2)</f>
        <v>4404.34</v>
      </c>
      <c r="BF24">
        <f>ROUND(Table143911[[#Totals],[Aug-29]]*$B$3,2)</f>
        <v>9423.93</v>
      </c>
      <c r="BG24">
        <f>ROUND(Table143911[[#Totals],[Sep-29]]*$B$3,2)</f>
        <v>14453.98</v>
      </c>
      <c r="BH24">
        <f>ROUND(Table143911[[#Totals],[Oct-29]]*$B$3,2)</f>
        <v>19494.509999999998</v>
      </c>
      <c r="BI24">
        <f>ROUND(Table143911[[#Totals],[Nov-29]]*$B$3,2)</f>
        <v>24545.54</v>
      </c>
      <c r="BJ24">
        <f>ROUND(Table143911[[#Totals],[Dec-29]]*$B$3,2)</f>
        <v>29607.09</v>
      </c>
      <c r="BK24" s="1"/>
    </row>
    <row r="25" spans="1:63" x14ac:dyDescent="0.2">
      <c r="A25" t="s">
        <v>199</v>
      </c>
      <c r="F25" t="s">
        <v>115</v>
      </c>
      <c r="G25" t="s">
        <v>115</v>
      </c>
      <c r="I25" t="s">
        <v>115</v>
      </c>
      <c r="K25" t="s">
        <v>115</v>
      </c>
    </row>
  </sheetData>
  <conditionalFormatting sqref="G23:BJ24">
    <cfRule type="cellIs" dxfId="23" priority="1" operator="lessThan">
      <formula>0</formula>
    </cfRule>
    <cfRule type="cellIs" dxfId="22" priority="2" operator="greaterThan">
      <formula>0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Jeanre Transactional</vt:lpstr>
      <vt:lpstr>Bernice Transactional</vt:lpstr>
      <vt:lpstr>Bernice Credit Card</vt:lpstr>
      <vt:lpstr>Child</vt:lpstr>
      <vt:lpstr>Jodine 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Jeanre Van Wyk</dc:creator>
  <cp:lastModifiedBy>Jeanre Van Wyk</cp:lastModifiedBy>
  <dcterms:created xsi:type="dcterms:W3CDTF">2024-04-07T08:39:01Z</dcterms:created>
  <dcterms:modified xsi:type="dcterms:W3CDTF">2025-09-28T09:54:38Z</dcterms:modified>
</cp:coreProperties>
</file>