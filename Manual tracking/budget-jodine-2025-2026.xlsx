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"/>
    </mc:Choice>
  </mc:AlternateContent>
  <xr:revisionPtr revIDLastSave="0" documentId="13_ncr:1_{8E8A0C42-631F-AA4E-BE74-3194F8B815B8}" xr6:coauthVersionLast="47" xr6:coauthVersionMax="47" xr10:uidLastSave="{00000000-0000-0000-0000-000000000000}"/>
  <bookViews>
    <workbookView xWindow="-62600" yWindow="-9740" windowWidth="62600" windowHeight="28180" activeTab="5" xr2:uid="{E4FDB97B-DCD0-C941-AC1E-362D6582387C}"/>
  </bookViews>
  <sheets>
    <sheet name="Jodine Main" sheetId="1" r:id="rId1"/>
    <sheet name="Jodine U" sheetId="3" r:id="rId2"/>
    <sheet name="Jodine U w laptop" sheetId="4" r:id="rId3"/>
    <sheet name="Jodine U AIE BET - yearly" sheetId="6" r:id="rId4"/>
    <sheet name="Jodine U AIE BET" sheetId="5" r:id="rId5"/>
    <sheet name="Jodine U AIE H. Cert Mech Eng" sheetId="7" r:id="rId6"/>
    <sheet name="Sheet2" sheetId="8" r:id="rId7"/>
  </sheets>
  <definedNames>
    <definedName name="solver_eng" localSheetId="6" hidden="1">1</definedName>
    <definedName name="solver_lin" localSheetId="6" hidden="1">2</definedName>
    <definedName name="solver_neg" localSheetId="6" hidden="1">1</definedName>
    <definedName name="solver_num" localSheetId="6" hidden="1">0</definedName>
    <definedName name="solver_opt" localSheetId="6" hidden="1">Sheet2!$A$1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7" l="1"/>
  <c r="L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H13" i="7"/>
  <c r="J14" i="7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9" i="8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C23" i="7"/>
  <c r="U18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N14" i="7"/>
  <c r="M14" i="7"/>
  <c r="L14" i="7"/>
  <c r="K14" i="7"/>
  <c r="H14" i="7"/>
  <c r="F14" i="7"/>
  <c r="B7" i="7"/>
  <c r="B3" i="7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O18" i="6"/>
  <c r="C23" i="6"/>
  <c r="C24" i="6" s="1"/>
  <c r="D17" i="6" s="1"/>
  <c r="D23" i="6" s="1"/>
  <c r="D24" i="6" s="1"/>
  <c r="E17" i="6" s="1"/>
  <c r="E23" i="6" s="1"/>
  <c r="E24" i="6" s="1"/>
  <c r="F17" i="6" s="1"/>
  <c r="I18" i="6"/>
  <c r="U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B7" i="6"/>
  <c r="B3" i="6"/>
  <c r="S19" i="5"/>
  <c r="T19" i="5"/>
  <c r="O19" i="5"/>
  <c r="P19" i="5"/>
  <c r="Q19" i="5"/>
  <c r="R19" i="5"/>
  <c r="M19" i="5"/>
  <c r="N19" i="5"/>
  <c r="I19" i="5"/>
  <c r="C23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B7" i="5"/>
  <c r="B3" i="5"/>
  <c r="E13" i="3"/>
  <c r="C23" i="4"/>
  <c r="I18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B6" i="4"/>
  <c r="B7" i="4" s="1"/>
  <c r="B8" i="4" s="1"/>
  <c r="B3" i="4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D14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B6" i="3"/>
  <c r="B7" i="3" s="1"/>
  <c r="B8" i="3" s="1"/>
  <c r="C23" i="3"/>
  <c r="B3" i="3"/>
  <c r="C18" i="1"/>
  <c r="D6" i="1" s="1"/>
  <c r="D18" i="1" s="1"/>
  <c r="C24" i="7" l="1"/>
  <c r="D17" i="7" s="1"/>
  <c r="D23" i="7" s="1"/>
  <c r="D24" i="7" s="1"/>
  <c r="E17" i="7" s="1"/>
  <c r="E23" i="7" s="1"/>
  <c r="E24" i="7" s="1"/>
  <c r="F17" i="7" s="1"/>
  <c r="F23" i="7" s="1"/>
  <c r="F24" i="7" s="1"/>
  <c r="G23" i="7" s="1"/>
  <c r="G24" i="7" s="1"/>
  <c r="F23" i="6"/>
  <c r="F24" i="6" s="1"/>
  <c r="G17" i="6" s="1"/>
  <c r="G23" i="6" s="1"/>
  <c r="G24" i="6" s="1"/>
  <c r="H17" i="6" s="1"/>
  <c r="H23" i="6" s="1"/>
  <c r="H24" i="6" s="1"/>
  <c r="I17" i="6" s="1"/>
  <c r="I23" i="6" s="1"/>
  <c r="I24" i="6" s="1"/>
  <c r="J17" i="6" s="1"/>
  <c r="J23" i="6" s="1"/>
  <c r="J24" i="6" s="1"/>
  <c r="K17" i="6" s="1"/>
  <c r="K23" i="6" s="1"/>
  <c r="K24" i="6" s="1"/>
  <c r="L17" i="6" s="1"/>
  <c r="L23" i="6" s="1"/>
  <c r="L24" i="6" s="1"/>
  <c r="M17" i="6" s="1"/>
  <c r="M23" i="6" s="1"/>
  <c r="M24" i="6" s="1"/>
  <c r="N17" i="6" s="1"/>
  <c r="N23" i="6" s="1"/>
  <c r="N24" i="6" s="1"/>
  <c r="O17" i="6" s="1"/>
  <c r="O23" i="6" s="1"/>
  <c r="O24" i="6" s="1"/>
  <c r="P17" i="6" s="1"/>
  <c r="P23" i="6" s="1"/>
  <c r="P24" i="6" s="1"/>
  <c r="Q17" i="6" s="1"/>
  <c r="Q23" i="6" s="1"/>
  <c r="Q24" i="6" s="1"/>
  <c r="R17" i="6" s="1"/>
  <c r="R23" i="6" s="1"/>
  <c r="R24" i="6" s="1"/>
  <c r="S17" i="6" s="1"/>
  <c r="S23" i="6" s="1"/>
  <c r="S24" i="6" s="1"/>
  <c r="T17" i="6" s="1"/>
  <c r="T23" i="6" s="1"/>
  <c r="T24" i="6" s="1"/>
  <c r="U17" i="6" s="1"/>
  <c r="U23" i="6" s="1"/>
  <c r="U24" i="6" s="1"/>
  <c r="V17" i="6" s="1"/>
  <c r="V23" i="6" s="1"/>
  <c r="V24" i="6" s="1"/>
  <c r="W17" i="6" s="1"/>
  <c r="W23" i="6" s="1"/>
  <c r="W24" i="6" s="1"/>
  <c r="X17" i="6" s="1"/>
  <c r="X23" i="6" s="1"/>
  <c r="X24" i="6" s="1"/>
  <c r="Y17" i="6" s="1"/>
  <c r="Y23" i="6" s="1"/>
  <c r="Y24" i="6" s="1"/>
  <c r="Z17" i="6" s="1"/>
  <c r="Z23" i="6" s="1"/>
  <c r="Z24" i="6" s="1"/>
  <c r="AA17" i="6" s="1"/>
  <c r="AA23" i="6" s="1"/>
  <c r="AA24" i="6" s="1"/>
  <c r="AB17" i="6" s="1"/>
  <c r="AB23" i="6" s="1"/>
  <c r="AB24" i="6" s="1"/>
  <c r="AC17" i="6" s="1"/>
  <c r="AC23" i="6" s="1"/>
  <c r="AC24" i="6" s="1"/>
  <c r="AD17" i="6" s="1"/>
  <c r="AD23" i="6" s="1"/>
  <c r="AD24" i="6" s="1"/>
  <c r="AE17" i="6" s="1"/>
  <c r="AE23" i="6" s="1"/>
  <c r="AE24" i="6" s="1"/>
  <c r="AF17" i="6" s="1"/>
  <c r="AF23" i="6" s="1"/>
  <c r="AF24" i="6" s="1"/>
  <c r="AG17" i="6" s="1"/>
  <c r="AG23" i="6" s="1"/>
  <c r="AG24" i="6" s="1"/>
  <c r="AH17" i="6" s="1"/>
  <c r="AH23" i="6" s="1"/>
  <c r="AH24" i="6" s="1"/>
  <c r="AI17" i="6" s="1"/>
  <c r="AI23" i="6" s="1"/>
  <c r="AI24" i="6" s="1"/>
  <c r="AJ17" i="6" s="1"/>
  <c r="AJ23" i="6" s="1"/>
  <c r="AJ24" i="6" s="1"/>
  <c r="AK17" i="6" s="1"/>
  <c r="AK23" i="6" s="1"/>
  <c r="AK24" i="6" s="1"/>
  <c r="AL17" i="6" s="1"/>
  <c r="AL23" i="6" s="1"/>
  <c r="AL24" i="6" s="1"/>
  <c r="L19" i="5"/>
  <c r="K19" i="5"/>
  <c r="J19" i="5"/>
  <c r="I18" i="5"/>
  <c r="C24" i="5"/>
  <c r="D17" i="5" s="1"/>
  <c r="D23" i="5" s="1"/>
  <c r="D24" i="5" s="1"/>
  <c r="E17" i="5" s="1"/>
  <c r="E23" i="5" s="1"/>
  <c r="E24" i="5" s="1"/>
  <c r="F17" i="5" s="1"/>
  <c r="F23" i="5" s="1"/>
  <c r="F24" i="5" s="1"/>
  <c r="G17" i="5" s="1"/>
  <c r="G23" i="5" s="1"/>
  <c r="G24" i="5" s="1"/>
  <c r="H17" i="5" s="1"/>
  <c r="H23" i="5" s="1"/>
  <c r="H24" i="5" s="1"/>
  <c r="I17" i="5" s="1"/>
  <c r="I23" i="5" s="1"/>
  <c r="I24" i="5" s="1"/>
  <c r="J17" i="5" s="1"/>
  <c r="J23" i="5" s="1"/>
  <c r="J24" i="5" s="1"/>
  <c r="K17" i="5" s="1"/>
  <c r="K23" i="5" s="1"/>
  <c r="K24" i="5" s="1"/>
  <c r="L17" i="5" s="1"/>
  <c r="L23" i="5" s="1"/>
  <c r="L24" i="5" s="1"/>
  <c r="M17" i="5" s="1"/>
  <c r="M23" i="5" s="1"/>
  <c r="M24" i="5" s="1"/>
  <c r="N17" i="5" s="1"/>
  <c r="N23" i="5" s="1"/>
  <c r="N24" i="5" s="1"/>
  <c r="O17" i="5" s="1"/>
  <c r="O23" i="5" s="1"/>
  <c r="O24" i="5" s="1"/>
  <c r="P17" i="5" s="1"/>
  <c r="P23" i="5" s="1"/>
  <c r="P24" i="5" s="1"/>
  <c r="Q17" i="5" s="1"/>
  <c r="Q23" i="5" s="1"/>
  <c r="Q24" i="5" s="1"/>
  <c r="R17" i="5" s="1"/>
  <c r="R23" i="5" s="1"/>
  <c r="R24" i="5" s="1"/>
  <c r="S17" i="5" s="1"/>
  <c r="S23" i="5" s="1"/>
  <c r="S24" i="5" s="1"/>
  <c r="T17" i="5" s="1"/>
  <c r="T23" i="5" s="1"/>
  <c r="T24" i="5" s="1"/>
  <c r="U17" i="5" s="1"/>
  <c r="U23" i="5" s="1"/>
  <c r="U24" i="5" s="1"/>
  <c r="V17" i="5" s="1"/>
  <c r="V23" i="5" s="1"/>
  <c r="V24" i="5" s="1"/>
  <c r="W17" i="5" s="1"/>
  <c r="W23" i="5" s="1"/>
  <c r="W24" i="5" s="1"/>
  <c r="X17" i="5" s="1"/>
  <c r="X23" i="5" s="1"/>
  <c r="X24" i="5" s="1"/>
  <c r="Y17" i="5" s="1"/>
  <c r="Y23" i="5" s="1"/>
  <c r="Y24" i="5" s="1"/>
  <c r="Z17" i="5" s="1"/>
  <c r="Z23" i="5" s="1"/>
  <c r="Z24" i="5" s="1"/>
  <c r="O18" i="4"/>
  <c r="U18" i="4"/>
  <c r="X19" i="4"/>
  <c r="W19" i="4"/>
  <c r="V19" i="4"/>
  <c r="U19" i="4"/>
  <c r="Q19" i="4"/>
  <c r="P19" i="4"/>
  <c r="K19" i="4"/>
  <c r="J19" i="4"/>
  <c r="I19" i="4"/>
  <c r="L19" i="4"/>
  <c r="R19" i="4"/>
  <c r="O19" i="4"/>
  <c r="C24" i="4"/>
  <c r="D17" i="4" s="1"/>
  <c r="D23" i="4" s="1"/>
  <c r="D24" i="4" s="1"/>
  <c r="E17" i="4" s="1"/>
  <c r="E23" i="4" s="1"/>
  <c r="E24" i="4" s="1"/>
  <c r="F17" i="4" s="1"/>
  <c r="F23" i="4" s="1"/>
  <c r="F24" i="4" s="1"/>
  <c r="G17" i="4" s="1"/>
  <c r="G23" i="4" s="1"/>
  <c r="G24" i="4" s="1"/>
  <c r="H17" i="4" s="1"/>
  <c r="H23" i="4" s="1"/>
  <c r="H24" i="4" s="1"/>
  <c r="I17" i="4" s="1"/>
  <c r="I23" i="4" s="1"/>
  <c r="I24" i="4" s="1"/>
  <c r="J17" i="4" s="1"/>
  <c r="J23" i="4" s="1"/>
  <c r="J24" i="4" s="1"/>
  <c r="K17" i="4" s="1"/>
  <c r="K23" i="4" s="1"/>
  <c r="K24" i="4" s="1"/>
  <c r="L17" i="4" s="1"/>
  <c r="L23" i="4" s="1"/>
  <c r="L24" i="4" s="1"/>
  <c r="M17" i="4" s="1"/>
  <c r="M23" i="4" s="1"/>
  <c r="M24" i="4" s="1"/>
  <c r="N17" i="4" s="1"/>
  <c r="N23" i="4" s="1"/>
  <c r="N24" i="4" s="1"/>
  <c r="O17" i="4" s="1"/>
  <c r="O23" i="4" s="1"/>
  <c r="O24" i="4" s="1"/>
  <c r="P17" i="4" s="1"/>
  <c r="P23" i="4" s="1"/>
  <c r="P24" i="4" s="1"/>
  <c r="Q17" i="4" s="1"/>
  <c r="Q23" i="4" s="1"/>
  <c r="Q24" i="4" s="1"/>
  <c r="R17" i="4" s="1"/>
  <c r="R23" i="4" s="1"/>
  <c r="R24" i="4" s="1"/>
  <c r="S17" i="4" s="1"/>
  <c r="S23" i="4" s="1"/>
  <c r="S24" i="4" s="1"/>
  <c r="T17" i="4" s="1"/>
  <c r="T23" i="4" s="1"/>
  <c r="T24" i="4" s="1"/>
  <c r="U17" i="4" s="1"/>
  <c r="U23" i="4" s="1"/>
  <c r="U24" i="4" s="1"/>
  <c r="V17" i="4" s="1"/>
  <c r="V23" i="4" s="1"/>
  <c r="V24" i="4" s="1"/>
  <c r="W17" i="4" s="1"/>
  <c r="W23" i="4" s="1"/>
  <c r="W24" i="4" s="1"/>
  <c r="X17" i="4" s="1"/>
  <c r="X23" i="4" s="1"/>
  <c r="X24" i="4" s="1"/>
  <c r="Y17" i="4" s="1"/>
  <c r="Y23" i="4" s="1"/>
  <c r="Y24" i="4" s="1"/>
  <c r="Z17" i="4" s="1"/>
  <c r="Z23" i="4" s="1"/>
  <c r="Z24" i="4" s="1"/>
  <c r="I18" i="3"/>
  <c r="O18" i="3"/>
  <c r="U18" i="3"/>
  <c r="C24" i="3"/>
  <c r="D17" i="3" s="1"/>
  <c r="X19" i="3"/>
  <c r="W19" i="3"/>
  <c r="V19" i="3"/>
  <c r="U19" i="3"/>
  <c r="R19" i="3"/>
  <c r="Q19" i="3"/>
  <c r="P19" i="3"/>
  <c r="O19" i="3"/>
  <c r="K19" i="3"/>
  <c r="L19" i="3"/>
  <c r="I19" i="3"/>
  <c r="J19" i="3"/>
  <c r="E6" i="1"/>
  <c r="E18" i="1" s="1"/>
  <c r="H17" i="7" l="1"/>
  <c r="H23" i="7" s="1"/>
  <c r="H24" i="7" s="1"/>
  <c r="I23" i="7" s="1"/>
  <c r="I24" i="7" s="1"/>
  <c r="J17" i="7" s="1"/>
  <c r="J23" i="7" s="1"/>
  <c r="J24" i="7" s="1"/>
  <c r="K23" i="7" s="1"/>
  <c r="K24" i="7" s="1"/>
  <c r="L17" i="7" s="1"/>
  <c r="L23" i="7" s="1"/>
  <c r="L24" i="7" s="1"/>
  <c r="M23" i="7" s="1"/>
  <c r="M24" i="7" s="1"/>
  <c r="N17" i="7" s="1"/>
  <c r="N23" i="7" s="1"/>
  <c r="N24" i="7" s="1"/>
  <c r="O17" i="7" s="1"/>
  <c r="O23" i="7" s="1"/>
  <c r="O24" i="7" s="1"/>
  <c r="P17" i="7" s="1"/>
  <c r="P23" i="7" s="1"/>
  <c r="P24" i="7" s="1"/>
  <c r="Q17" i="7" s="1"/>
  <c r="Q23" i="7" s="1"/>
  <c r="Q24" i="7" s="1"/>
  <c r="R17" i="7" s="1"/>
  <c r="R23" i="7" s="1"/>
  <c r="R24" i="7" s="1"/>
  <c r="S17" i="7" s="1"/>
  <c r="S23" i="7" s="1"/>
  <c r="S24" i="7" s="1"/>
  <c r="T17" i="7" s="1"/>
  <c r="T23" i="7" s="1"/>
  <c r="T24" i="7" s="1"/>
  <c r="U17" i="7" s="1"/>
  <c r="U23" i="7" s="1"/>
  <c r="U24" i="7" s="1"/>
  <c r="V17" i="7" s="1"/>
  <c r="V23" i="7" s="1"/>
  <c r="V24" i="7" s="1"/>
  <c r="W17" i="7" s="1"/>
  <c r="W23" i="7" s="1"/>
  <c r="W24" i="7" s="1"/>
  <c r="X17" i="7" s="1"/>
  <c r="X23" i="7" s="1"/>
  <c r="X24" i="7" s="1"/>
  <c r="Y17" i="7" s="1"/>
  <c r="Y23" i="7" s="1"/>
  <c r="Y24" i="7" s="1"/>
  <c r="Z17" i="7" s="1"/>
  <c r="Z23" i="7" s="1"/>
  <c r="Z24" i="7" s="1"/>
  <c r="AA17" i="7" s="1"/>
  <c r="AA23" i="7" s="1"/>
  <c r="AA24" i="7" s="1"/>
  <c r="AB17" i="7" s="1"/>
  <c r="AB23" i="7" s="1"/>
  <c r="AB24" i="7" s="1"/>
  <c r="AC17" i="7" s="1"/>
  <c r="AC23" i="7" s="1"/>
  <c r="AC24" i="7" s="1"/>
  <c r="AD17" i="7" s="1"/>
  <c r="AD23" i="7" s="1"/>
  <c r="AD24" i="7" s="1"/>
  <c r="AE17" i="7" s="1"/>
  <c r="AE23" i="7" s="1"/>
  <c r="AE24" i="7" s="1"/>
  <c r="AF17" i="7" s="1"/>
  <c r="AF23" i="7" s="1"/>
  <c r="AF24" i="7" s="1"/>
  <c r="AG17" i="7" s="1"/>
  <c r="AG23" i="7" s="1"/>
  <c r="AG24" i="7" s="1"/>
  <c r="AH17" i="7" s="1"/>
  <c r="AH23" i="7" s="1"/>
  <c r="AH24" i="7" s="1"/>
  <c r="AI17" i="7" s="1"/>
  <c r="AI23" i="7" s="1"/>
  <c r="AI24" i="7" s="1"/>
  <c r="AJ17" i="7" s="1"/>
  <c r="AJ23" i="7" s="1"/>
  <c r="AJ24" i="7" s="1"/>
  <c r="AK17" i="7" s="1"/>
  <c r="AK23" i="7" s="1"/>
  <c r="AK24" i="7" s="1"/>
  <c r="AL17" i="7" s="1"/>
  <c r="AL23" i="7" s="1"/>
  <c r="AL24" i="7" s="1"/>
  <c r="AM17" i="7" s="1"/>
  <c r="AM23" i="7" s="1"/>
  <c r="AM24" i="7" s="1"/>
  <c r="AN17" i="7" s="1"/>
  <c r="AN23" i="7" s="1"/>
  <c r="AN24" i="7" s="1"/>
  <c r="AO17" i="7" s="1"/>
  <c r="AO23" i="7" s="1"/>
  <c r="AO24" i="7" s="1"/>
  <c r="AP17" i="7" s="1"/>
  <c r="AP23" i="7" s="1"/>
  <c r="AP24" i="7" s="1"/>
  <c r="AQ17" i="7" s="1"/>
  <c r="AQ23" i="7" s="1"/>
  <c r="AQ24" i="7" s="1"/>
  <c r="AR17" i="7" s="1"/>
  <c r="AR23" i="7" s="1"/>
  <c r="AR24" i="7" s="1"/>
  <c r="AS17" i="7" s="1"/>
  <c r="AS23" i="7" s="1"/>
  <c r="AS24" i="7" s="1"/>
  <c r="AT17" i="7" s="1"/>
  <c r="AT23" i="7" s="1"/>
  <c r="AT24" i="7" s="1"/>
  <c r="AU17" i="7" s="1"/>
  <c r="AU23" i="7" s="1"/>
  <c r="AU24" i="7" s="1"/>
  <c r="AV17" i="7" s="1"/>
  <c r="AV23" i="7" s="1"/>
  <c r="AV24" i="7" s="1"/>
  <c r="AW17" i="7" s="1"/>
  <c r="AW23" i="7" s="1"/>
  <c r="AW24" i="7" s="1"/>
  <c r="AX17" i="7" s="1"/>
  <c r="AX23" i="7" s="1"/>
  <c r="AX24" i="7" s="1"/>
  <c r="AY17" i="7" s="1"/>
  <c r="AY23" i="7" s="1"/>
  <c r="AY24" i="7" s="1"/>
  <c r="AZ17" i="7" s="1"/>
  <c r="AZ23" i="7" s="1"/>
  <c r="AZ24" i="7" s="1"/>
  <c r="BA17" i="7" s="1"/>
  <c r="BA23" i="7" s="1"/>
  <c r="BA24" i="7" s="1"/>
  <c r="BB17" i="7" s="1"/>
  <c r="BB23" i="7" s="1"/>
  <c r="BB24" i="7" s="1"/>
  <c r="BC17" i="7" s="1"/>
  <c r="BC23" i="7" s="1"/>
  <c r="BC24" i="7" s="1"/>
  <c r="BD17" i="7" s="1"/>
  <c r="BD23" i="7" s="1"/>
  <c r="BD24" i="7" s="1"/>
  <c r="BE17" i="7" s="1"/>
  <c r="BE23" i="7" s="1"/>
  <c r="BE24" i="7" s="1"/>
  <c r="BF17" i="7" s="1"/>
  <c r="BF23" i="7" s="1"/>
  <c r="BF24" i="7" s="1"/>
  <c r="BG17" i="7" s="1"/>
  <c r="BG23" i="7" s="1"/>
  <c r="BG24" i="7" s="1"/>
  <c r="BH17" i="7" s="1"/>
  <c r="BH23" i="7" s="1"/>
  <c r="BH24" i="7" s="1"/>
  <c r="BI17" i="7" s="1"/>
  <c r="BI23" i="7" s="1"/>
  <c r="BI24" i="7" s="1"/>
  <c r="BJ17" i="7" s="1"/>
  <c r="BJ23" i="7" s="1"/>
  <c r="BJ24" i="7" s="1"/>
  <c r="D23" i="3"/>
  <c r="D24" i="3" s="1"/>
  <c r="F6" i="1"/>
  <c r="F18" i="1" s="1"/>
  <c r="G6" i="1" s="1"/>
  <c r="G18" i="1" s="1"/>
  <c r="E17" i="3" l="1"/>
  <c r="E23" i="3" s="1"/>
  <c r="H6" i="1"/>
  <c r="H18" i="1" s="1"/>
  <c r="E24" i="3" l="1"/>
  <c r="F17" i="3" s="1"/>
  <c r="F23" i="3" s="1"/>
  <c r="I6" i="1"/>
  <c r="I18" i="1" s="1"/>
  <c r="F24" i="3" l="1"/>
  <c r="G17" i="3" s="1"/>
  <c r="G23" i="3" s="1"/>
  <c r="J6" i="1"/>
  <c r="J18" i="1" s="1"/>
  <c r="G24" i="3" l="1"/>
  <c r="H17" i="3" s="1"/>
  <c r="H23" i="3" s="1"/>
  <c r="K6" i="1"/>
  <c r="K18" i="1" s="1"/>
  <c r="H24" i="3" l="1"/>
  <c r="I17" i="3" s="1"/>
  <c r="I23" i="3" s="1"/>
  <c r="I24" i="3" s="1"/>
  <c r="L6" i="1"/>
  <c r="L18" i="1" s="1"/>
  <c r="J17" i="3" l="1"/>
  <c r="J23" i="3" s="1"/>
  <c r="M6" i="1"/>
  <c r="M18" i="1" s="1"/>
  <c r="J24" i="3" l="1"/>
  <c r="K17" i="3" s="1"/>
  <c r="K23" i="3" s="1"/>
  <c r="N6" i="1"/>
  <c r="N18" i="1" s="1"/>
  <c r="K24" i="3" l="1"/>
  <c r="L17" i="3" s="1"/>
  <c r="L23" i="3" s="1"/>
  <c r="O6" i="1"/>
  <c r="O18" i="1" s="1"/>
  <c r="L24" i="3" l="1"/>
  <c r="M17" i="3" s="1"/>
  <c r="M23" i="3" s="1"/>
  <c r="P6" i="1"/>
  <c r="P18" i="1" s="1"/>
  <c r="M24" i="3" l="1"/>
  <c r="N17" i="3" s="1"/>
  <c r="N23" i="3" s="1"/>
  <c r="Q6" i="1"/>
  <c r="Q18" i="1" s="1"/>
  <c r="N24" i="3" l="1"/>
  <c r="O17" i="3" s="1"/>
  <c r="O23" i="3" s="1"/>
  <c r="R6" i="1"/>
  <c r="R18" i="1" s="1"/>
  <c r="O24" i="3" l="1"/>
  <c r="P17" i="3" s="1"/>
  <c r="P23" i="3" s="1"/>
  <c r="S6" i="1"/>
  <c r="S18" i="1" s="1"/>
  <c r="P24" i="3" l="1"/>
  <c r="Q17" i="3" s="1"/>
  <c r="Q23" i="3" s="1"/>
  <c r="T6" i="1"/>
  <c r="T18" i="1" s="1"/>
  <c r="Q24" i="3" l="1"/>
  <c r="R17" i="3" s="1"/>
  <c r="R23" i="3" s="1"/>
  <c r="U6" i="1"/>
  <c r="U18" i="1" s="1"/>
  <c r="R24" i="3" l="1"/>
  <c r="S17" i="3" s="1"/>
  <c r="S23" i="3" s="1"/>
  <c r="V6" i="1"/>
  <c r="V18" i="1" s="1"/>
  <c r="S24" i="3" l="1"/>
  <c r="T17" i="3" s="1"/>
  <c r="T23" i="3" s="1"/>
  <c r="W6" i="1"/>
  <c r="W18" i="1" s="1"/>
  <c r="T24" i="3" l="1"/>
  <c r="U17" i="3" s="1"/>
  <c r="U23" i="3" s="1"/>
  <c r="X6" i="1"/>
  <c r="X18" i="1" s="1"/>
  <c r="U24" i="3" l="1"/>
  <c r="V17" i="3" s="1"/>
  <c r="V23" i="3" s="1"/>
  <c r="Y6" i="1"/>
  <c r="Y18" i="1" s="1"/>
  <c r="V24" i="3" l="1"/>
  <c r="W17" i="3" s="1"/>
  <c r="W23" i="3" s="1"/>
  <c r="Z6" i="1"/>
  <c r="Z18" i="1" s="1"/>
  <c r="W24" i="3" l="1"/>
  <c r="X17" i="3" s="1"/>
  <c r="X23" i="3" s="1"/>
  <c r="X24" i="3" l="1"/>
  <c r="Y17" i="3" s="1"/>
  <c r="Y23" i="3" s="1"/>
  <c r="Y24" i="3" l="1"/>
  <c r="Z17" i="3" s="1"/>
  <c r="Z23" i="3" s="1"/>
  <c r="Z24" i="3" l="1"/>
</calcChain>
</file>

<file path=xl/sharedStrings.xml><?xml version="1.0" encoding="utf-8"?>
<sst xmlns="http://schemas.openxmlformats.org/spreadsheetml/2006/main" count="464" uniqueCount="161">
  <si>
    <t>Expense</t>
  </si>
  <si>
    <t>Type</t>
  </si>
  <si>
    <t>Income</t>
  </si>
  <si>
    <t>Description</t>
  </si>
  <si>
    <t>Jodine</t>
  </si>
  <si>
    <t>Jeanre</t>
  </si>
  <si>
    <t>Daniel Insurance</t>
  </si>
  <si>
    <t>Jodine Salary</t>
  </si>
  <si>
    <t>Vehicle Insurance</t>
  </si>
  <si>
    <t>Wifi</t>
  </si>
  <si>
    <t>Spotify</t>
  </si>
  <si>
    <t>Medical</t>
  </si>
  <si>
    <t>Personal Savings</t>
  </si>
  <si>
    <t>Spending</t>
  </si>
  <si>
    <t>Day-to-Day</t>
  </si>
  <si>
    <t>Fuel</t>
  </si>
  <si>
    <t>Vehicle Savings</t>
  </si>
  <si>
    <t>Medical Aid</t>
  </si>
  <si>
    <t>Other</t>
  </si>
  <si>
    <t>Retained Balance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</si>
  <si>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</si>
  <si>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</si>
  <si>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</si>
  <si>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</si>
  <si>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</si>
  <si>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</si>
  <si>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</si>
  <si>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</si>
  <si>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</si>
  <si>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</si>
  <si>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</si>
  <si>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</si>
  <si>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</si>
  <si>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</si>
  <si>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</si>
  <si>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</si>
  <si>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</si>
  <si>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</si>
  <si>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</si>
  <si>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</si>
  <si>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</si>
  <si>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</si>
  <si>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</si>
  <si>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</si>
  <si>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</si>
  <si>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Jodine U</t>
  </si>
  <si>
    <t>CTU Deposit</t>
  </si>
  <si>
    <t>CTU Monthly Payment</t>
  </si>
  <si>
    <t>Interest(NACM)</t>
  </si>
  <si>
    <t>Interest Monthly</t>
  </si>
  <si>
    <t>Running Total w Interest</t>
  </si>
  <si>
    <t>Laptop</t>
  </si>
  <si>
    <t>Excess</t>
  </si>
  <si>
    <t>Books</t>
  </si>
  <si>
    <t>Item</t>
  </si>
  <si>
    <t>Value</t>
  </si>
  <si>
    <t>Total CTU per Semester</t>
  </si>
  <si>
    <t>Semester Admin and Registration</t>
  </si>
  <si>
    <t>20% Deposit</t>
  </si>
  <si>
    <t>Remaining amount</t>
  </si>
  <si>
    <t>Monthly Installment</t>
  </si>
  <si>
    <t>Jodine Contribution</t>
  </si>
  <si>
    <t>Jeanre Contribution</t>
  </si>
  <si>
    <t>Andrew</t>
  </si>
  <si>
    <t>we are still good at this point</t>
  </si>
  <si>
    <t>Min Deposit</t>
  </si>
  <si>
    <t>registration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</si>
  <si>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</si>
  <si>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</si>
  <si>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</si>
  <si>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</si>
  <si>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</si>
  <si>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</si>
  <si>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</si>
  <si>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</si>
  <si>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</si>
  <si>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</si>
  <si>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</si>
  <si>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</si>
  <si>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verified accurate</t>
  </si>
  <si>
    <t>Y</t>
  </si>
  <si>
    <t xml:space="preserve"> Deposit</t>
  </si>
  <si>
    <t xml:space="preserve"> Monthly Payment</t>
  </si>
  <si>
    <t>Oct-28</t>
  </si>
  <si>
    <t>Nov-28</t>
  </si>
  <si>
    <t>Dec-28</t>
  </si>
  <si>
    <t>Oct-29</t>
  </si>
  <si>
    <t>Nov-29</t>
  </si>
  <si>
    <t>Dec-29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</si>
  <si>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</si>
  <si>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</si>
  <si>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</si>
  <si>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</si>
  <si>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</si>
  <si>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</si>
  <si>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</si>
  <si>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</si>
  <si>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</si>
  <si>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</si>
  <si>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</si>
  <si>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</si>
  <si>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</si>
  <si>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</si>
  <si>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</si>
  <si>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</si>
  <si>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</si>
  <si>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</si>
  <si>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=SUMIF([Type],"Income",[Nov-27])-SUMIF([Type],"Expense",[Nov-27])</t>
  </si>
  <si>
    <t>=SUMIF([Type],"Income",[Dec-27])-SUMIF([Type],"Expense",[Dec-27])</t>
  </si>
  <si>
    <t>=SUMIF([Type], "Income",[Jan-28])-sumif([Type], "Expense",[Jan-28])</t>
  </si>
  <si>
    <t>=SUMIF([Type], "Income",[Feb-28])-sumif([Type], "Expense",[Feb-28])</t>
  </si>
  <si>
    <t>=SUMIF([Type], "Income",[Mar-28])-sumif([Type], "Expense",[Mar-28])</t>
  </si>
  <si>
    <t>=SUMIF([Type], "Income",[Apr-28])-sumif([Type], "Expense",[Apr-28])</t>
  </si>
  <si>
    <t>=SUMIF([Type], "Income",[May-28])-sumif([Type], "Expense",[May-28])</t>
  </si>
  <si>
    <t>=SUMIF([Type], "Income",[Jun-28])-sumif([Type], "Expense",[Jun-28])</t>
  </si>
  <si>
    <t>=SUMIF([Type], "Income",[Jul-28])-sumif([Type], "Expense",[Jul-28])</t>
  </si>
  <si>
    <t>=SUMIF([Type], "Income",[Aug-28])-sumif([Type], "Expense",[Aug-28])</t>
  </si>
  <si>
    <t>=SUMIF([Type], "Income",[Sep-28])-sumif([Type], "Expense",[Sep-28])</t>
  </si>
  <si>
    <t>=SUMIF([Type], "Income",[Oct-28])-sumif([Type], "Expense",[Oct-28])</t>
  </si>
  <si>
    <t>=SUMIF([Type], "Income",[Nov-28])-sumif([Type], "Expense",[Nov-28])</t>
  </si>
  <si>
    <t>=SUMIF([Type], "Income",[Dec-28])-sumif([Type], "Expense",[Dec-28])</t>
  </si>
  <si>
    <t>=SUMIF([Type], "Income",[Jan-29])-sumif([Type], "Expense",[Jan-29])</t>
  </si>
  <si>
    <t>=SUMIF([Type], "Income",[Feb-29])-sumif([Type], "Expense",[Feb-29])</t>
  </si>
  <si>
    <t>=SUMIF([Type], "Income",[Mar-29])-sumif([Type], "Expense",[Mar-29])</t>
  </si>
  <si>
    <t>=SUMIF([Type], "Income",[Apr-29])-sumif([Type], "Expense",[Apr-29])</t>
  </si>
  <si>
    <t>=SUMIF([Type], "Income",[May-29])-sumif([Type], "Expense",[May-29])</t>
  </si>
  <si>
    <t>=SUMIF([Type], "Income",[Jun-29])-sumif([Type], "Expense",[Jun-29])</t>
  </si>
  <si>
    <t>=SUMIF([Type], "Income",[Jul-29])-sumif([Type], "Expense",[Jul-29])</t>
  </si>
  <si>
    <t>=SUMIF([Type], "Income",[Aug-29])-sumif([Type], "Expense",[Aug-29])</t>
  </si>
  <si>
    <t>=SUMIF([Type], "Income",[Sep-29])-sumif([Type], "Expense",[Sep-29])</t>
  </si>
  <si>
    <t>=SUMIF([Type], "Income",[Oct-29])-sumif([Type], "Expense",[Oct-29])</t>
  </si>
  <si>
    <t>=SUMIF([Type], "Income",[Nov-29])-sumif([Type], "Expense",[Nov-29])</t>
  </si>
  <si>
    <t>=SUMIF([Type], "Income",[Dec-29])-sumif([Type], "Expense",[Dec-29])</t>
  </si>
  <si>
    <t>=ROUND(Table143911[[#Totals],[Dec-27]]*$B$3,2)</t>
  </si>
  <si>
    <t>=ROUND(Table143911[[#Totals],[Jan-28]]*$B$3,2)</t>
  </si>
  <si>
    <t>=ROUND(Table143911[[#Totals],[Feb-28]]*$B$3,2)</t>
  </si>
  <si>
    <t>=ROUND(Table143911[[#Totals],[Mar-28]]*$B$3,2)</t>
  </si>
  <si>
    <t>=ROUND(Table143911[[#Totals],[Apr-28]]*$B$3,2)</t>
  </si>
  <si>
    <t>=ROUND(Table143911[[#Totals],[May-28]]*$B$3,2)</t>
  </si>
  <si>
    <t>=ROUND(Table143911[[#Totals],[Jun-28]]*$B$3,2)</t>
  </si>
  <si>
    <t>=ROUND(Table143911[[#Totals],[Jul-28]]*$B$3,2)</t>
  </si>
  <si>
    <t>=ROUND(Table143911[[#Totals],[Aug-28]]*$B$3,2)</t>
  </si>
  <si>
    <t>=ROUND(Table143911[[#Totals],[Sep-28]]*$B$3,2)</t>
  </si>
  <si>
    <t>=ROUND(Table143911[[#Totals],[Oct-28]]*$B$3,2)</t>
  </si>
  <si>
    <t>=ROUND(Table143911[[#Totals],[Nov-28]]*$B$3,2)</t>
  </si>
  <si>
    <t>=ROUND(Table143911[[#Totals],[Dec-28]]*$B$3,2)</t>
  </si>
  <si>
    <t>=ROUND(Table143911[[#Totals],[Jan-29]]*$B$3,2)</t>
  </si>
  <si>
    <t>=ROUND(Table143911[[#Totals],[Feb-29]]*$B$3,2)</t>
  </si>
  <si>
    <t>=ROUND(Table143911[[#Totals],[Mar-29]]*$B$3,2)</t>
  </si>
  <si>
    <t>=ROUND(Table143911[[#Totals],[Apr-29]]*$B$3,2)</t>
  </si>
  <si>
    <t>=ROUND(Table143911[[#Totals],[May-29]]*$B$3,2)</t>
  </si>
  <si>
    <t>=ROUND(Table143911[[#Totals],[Jun-29]]*$B$3,2)</t>
  </si>
  <si>
    <t>=ROUND(Table143911[[#Totals],[Jul-29]]*$B$3,2)</t>
  </si>
  <si>
    <t>=ROUND(Table143911[[#Totals],[Aug-29]]*$B$3,2)</t>
  </si>
  <si>
    <t>=ROUND(Table143911[[#Totals],[Sep-29]]*$B$3,2)</t>
  </si>
  <si>
    <t>=ROUND(Table143911[[#Totals],[Oct-29]]*$B$3,2)</t>
  </si>
  <si>
    <t>=ROUND(Table143911[[#Totals],[Nov-29]]*$B$3,2)</t>
  </si>
  <si>
    <t>=ROUND(Table143911[[#Totals],[Dec-29]]*$B$3,2)</t>
  </si>
  <si>
    <t>Total AIE per Semester</t>
  </si>
  <si>
    <t xml:space="preserve">Sorry had to lend some money. Was a truly tough two months! </t>
  </si>
  <si>
    <t>Yes Nov 02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</si>
</sst>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theme="9"/>
      <name val="Aptos Narrow"/>
      <scheme val="minor"/>
    </font>
    <font>
      <sz val="12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17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3" xfId="0" applyFill="1" applyBorder="1"/>
    <xf numFmtId="0" fontId="2" fillId="2" borderId="1" xfId="0" applyFont="1" applyFill="1" applyBorder="1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0" xfId="0" applyFill="1"/>
    <xf numFmtId="17" fontId="4" fillId="0" borderId="4" xfId="0" applyNumberFormat="1" applyFont="1" applyBorder="1"/>
    <xf numFmtId="0" fontId="0" fillId="0" borderId="0" xfId="0" quotePrefix="1"/>
    <xf numFmtId="0" fontId="0" fillId="4" borderId="3" xfId="0" applyFill="1" applyBorder="1"/>
    <xf numFmtId="0" fontId="0" fillId="5" borderId="3" xfId="0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6" borderId="0" xfId="0" applyFont="1" applyFill="1"/>
    <xf numFmtId="0" fontId="5" fillId="7" borderId="1" xfId="0" applyFont="1" applyFill="1" applyBorder="1"/>
    <xf numFmtId="0" fontId="3" fillId="4" borderId="1" xfId="0" applyFont="1" applyFill="1" applyBorder="1"/>
    <xf numFmtId="0" fontId="6" fillId="6" borderId="1" xfId="0" applyFont="1" applyFill="1" applyBorder="1"/>
    <xf numFmtId="0" fontId="7" fillId="0" borderId="0" xfId="0" applyFont="1"/>
    <xf numFmtId="4" fontId="7" fillId="0" borderId="0" xfId="0" applyNumberFormat="1" applyFont="1"/>
  </cellXfs>
  <cellStyles count="1">
    <cellStyle name="Normal" xfId="0" builtinId="0"/>
  </cellStyles>
  <dxfs count="291"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</dxf>
    <dxf>
      <numFmt numFmtId="22" formatCode="mmm\-yy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63A2A-5591-EE49-8056-9B0A488E6218}" name="Table1" displayName="Table1" ref="A1:Z18" totalsRowCount="1" headerRowDxfId="290" dataDxfId="289">
  <autoFilter ref="A1:Z17" xr:uid="{39D63A2A-5591-EE49-8056-9B0A488E6218}"/>
  <tableColumns count="26">
    <tableColumn id="2" xr3:uid="{3C233ECA-1CA1-5844-9A19-0FE3D1AD1B28}" name="Type" totalsRowLabel="Total" dataDxfId="288" totalsRowDxfId="287"/>
    <tableColumn id="3" xr3:uid="{D635AABA-7692-DA47-A89F-7698E9C41272}" name="Description" dataDxfId="286" totalsRowDxfId="285"/>
    <tableColumn id="4" xr3:uid="{7800D18B-6B46-F144-B0EC-28BD18BA6D30}" name="Jan-25" totalsRowFunction="custom" dataDxfId="284" totalsRowDxfId="283">
      <totalsRowFormula>SUMIF(Table1[Type],"Income",Table1[Jan-25])-SUMIF(Table1[Type],"Expense",Table1[Jan-25])</totalsRowFormula>
    </tableColumn>
    <tableColumn id="5" xr3:uid="{5CC9BAF5-43DA-DE45-BDEE-22416CC4B93B}" name="Feb-25" totalsRowFunction="custom" dataDxfId="282" totalsRowDxfId="281">
      <calculatedColumnFormula>Table1[[#Totals],[Jan-25]]</calculatedColumnFormula>
      <totalsRowFormula>SUMIF(Table1[Type],"Income",Table1[Feb-25])-SUMIF(Table1[Type],"Expense",Table1[Feb-25])</totalsRowFormula>
    </tableColumn>
    <tableColumn id="6" xr3:uid="{48A0A378-E642-CD4A-8C6E-0570A77FF541}" name="Mar-25" totalsRowFunction="custom" dataDxfId="280" totalsRowDxfId="279">
      <totalsRowFormula>SUMIF(Table1[Type],"Income",Table1[Mar-25])-SUMIF(Table1[Type],"Expense",Table1[Mar-25])</totalsRowFormula>
    </tableColumn>
    <tableColumn id="7" xr3:uid="{F7ACAC1F-7764-3B49-917F-D400F13D687A}" name="Apr-25" totalsRowFunction="custom" dataDxfId="278" totalsRowDxfId="277">
      <totalsRowFormula>SUMIF(Table1[Type],"Income",Table1[Apr-25])-SUMIF(Table1[Type],"Expense",Table1[Apr-25])</totalsRowFormula>
    </tableColumn>
    <tableColumn id="8" xr3:uid="{5D9D1C1D-B0AE-164B-8285-E3C69F3807E5}" name="May-25" totalsRowFunction="custom" dataDxfId="276" totalsRowDxfId="275">
      <totalsRowFormula>SUMIF(Table1[Type],"Income",Table1[May-25])-SUMIF(Table1[Type],"Expense",Table1[May-25])</totalsRowFormula>
    </tableColumn>
    <tableColumn id="9" xr3:uid="{9C1986C8-B90C-C949-A8C0-77E36FB6CD5C}" name="Jun-25" totalsRowFunction="custom" dataDxfId="274" totalsRowDxfId="273">
      <totalsRowFormula>SUMIF(Table1[Type],"Income",Table1[Jun-25])-SUMIF(Table1[Type],"Expense",Table1[Jun-25])</totalsRowFormula>
    </tableColumn>
    <tableColumn id="10" xr3:uid="{510FCE5B-86DE-024E-9EC4-102F0749CD80}" name="Jul-25" totalsRowFunction="custom" dataDxfId="272" totalsRowDxfId="271">
      <totalsRowFormula>SUMIF(Table1[Type],"Income",Table1[Jul-25])-SUMIF(Table1[Type],"Expense",Table1[Jul-25])</totalsRowFormula>
    </tableColumn>
    <tableColumn id="11" xr3:uid="{FDF765AD-7784-0A4B-82F7-7545A6246B8C}" name="Aug-25" totalsRowFunction="custom" dataDxfId="270" totalsRowDxfId="269">
      <totalsRowFormula>SUMIF(Table1[Type],"Income",Table1[Aug-25])-SUMIF(Table1[Type],"Expense",Table1[Aug-25])</totalsRowFormula>
    </tableColumn>
    <tableColumn id="12" xr3:uid="{2A881A79-35EB-F944-B966-84A45826584B}" name="Sep-25" totalsRowFunction="custom" dataDxfId="268" totalsRowDxfId="267">
      <totalsRowFormula>SUMIF(Table1[Type],"Income",Table1[Sep-25])-SUMIF(Table1[Type],"Expense",Table1[Sep-25])</totalsRowFormula>
    </tableColumn>
    <tableColumn id="13" xr3:uid="{9BCC3FBF-DC91-514D-96F7-7349F6914DAA}" name="Oct-25" totalsRowFunction="custom" dataDxfId="266" totalsRowDxfId="265">
      <totalsRowFormula>SUMIF(Table1[Type],"Income",Table1[Oct-25])-SUMIF(Table1[Type],"Expense",Table1[Oct-25])</totalsRowFormula>
    </tableColumn>
    <tableColumn id="14" xr3:uid="{4FCB13A3-8008-7246-AF3E-0847BF55201C}" name="Nov-25" totalsRowFunction="custom" dataDxfId="264" totalsRowDxfId="263">
      <totalsRowFormula>SUMIF(Table1[Type],"Income",Table1[Nov-25])-SUMIF(Table1[Type],"Expense",Table1[Nov-25])</totalsRowFormula>
    </tableColumn>
    <tableColumn id="15" xr3:uid="{F7A69601-4E4B-2B45-BEEE-BBA926E796E7}" name="Dec-25" totalsRowFunction="custom" dataDxfId="262" totalsRowDxfId="261">
      <totalsRowFormula>SUMIF(Table1[Type],"Income",Table1[Dec-25])-SUMIF(Table1[Type],"Expense",Table1[Dec-25])</totalsRowFormula>
    </tableColumn>
    <tableColumn id="16" xr3:uid="{1A155B56-ADE9-A24F-90E7-2491DE3CEAF3}" name="Jan-26" totalsRowFunction="custom" dataDxfId="260" totalsRowDxfId="259">
      <totalsRowFormula>SUMIF(Table1[Type],"Income",Table1[Jan-26])-SUMIF(Table1[Type],"Expense",Table1[Jan-26])</totalsRowFormula>
    </tableColumn>
    <tableColumn id="17" xr3:uid="{52C436C4-213E-4542-BD1E-2C01FC40ABB5}" name="Feb-26" totalsRowFunction="custom" dataDxfId="258" totalsRowDxfId="257">
      <totalsRowFormula>SUMIF(Table1[Type],"Income",Table1[Feb-26])-SUMIF(Table1[Type],"Expense",Table1[Feb-26])</totalsRowFormula>
    </tableColumn>
    <tableColumn id="18" xr3:uid="{EFFFAA9A-6AB4-B74A-A530-8E4AF5B82468}" name="Mar-26" totalsRowFunction="custom" dataDxfId="256" totalsRowDxfId="255">
      <totalsRowFormula>SUMIF(Table1[Type],"Income",Table1[Mar-26])-SUMIF(Table1[Type],"Expense",Table1[Mar-26])</totalsRowFormula>
    </tableColumn>
    <tableColumn id="19" xr3:uid="{FF7B6137-5C04-B34E-8CF5-FD22C53D7ED7}" name="Apr-26" totalsRowFunction="custom" dataDxfId="254" totalsRowDxfId="253">
      <totalsRowFormula>SUMIF(Table1[Type],"Income",Table1[Apr-26])-SUMIF(Table1[Type],"Expense",Table1[Apr-26])</totalsRowFormula>
    </tableColumn>
    <tableColumn id="20" xr3:uid="{342F0C5F-3428-ED40-A050-2CC21416091E}" name="May-26" totalsRowFunction="custom" dataDxfId="252" totalsRowDxfId="251">
      <totalsRowFormula>SUMIF(Table1[Type],"Income",Table1[May-26])-SUMIF(Table1[Type],"Expense",Table1[May-26])</totalsRowFormula>
    </tableColumn>
    <tableColumn id="21" xr3:uid="{14737451-2FBA-404C-BED6-DC2B51997BCB}" name="Jun-26" totalsRowFunction="custom" dataDxfId="250" totalsRowDxfId="249">
      <totalsRowFormula>SUMIF(Table1[Type],"Income",Table1[Jun-26])-SUMIF(Table1[Type],"Expense",Table1[Jun-26])</totalsRowFormula>
    </tableColumn>
    <tableColumn id="22" xr3:uid="{9409664E-AA61-A145-9C05-4772B28606ED}" name="Jul-26" totalsRowFunction="custom" dataDxfId="248" totalsRowDxfId="247">
      <totalsRowFormula>SUMIF(Table1[Type],"Income",Table1[Jul-26])-SUMIF(Table1[Type],"Expense",Table1[Jul-26])</totalsRowFormula>
    </tableColumn>
    <tableColumn id="23" xr3:uid="{43928D5D-83C9-9141-A15B-6B2E3A38F7A2}" name="Aug-26" totalsRowFunction="custom" dataDxfId="246" totalsRowDxfId="245">
      <totalsRowFormula>SUMIF(Table1[Type],"Income",Table1[Aug-26])-SUMIF(Table1[Type],"Expense",Table1[Aug-26])</totalsRowFormula>
    </tableColumn>
    <tableColumn id="24" xr3:uid="{2E9AC8AA-BC40-754A-B1A0-FB2DE7A15233}" name="Sep-26" totalsRowFunction="custom" dataDxfId="244" totalsRowDxfId="243">
      <totalsRowFormula>SUMIF(Table1[Type],"Income",Table1[Sep-26])-SUMIF(Table1[Type],"Expense",Table1[Sep-26])</totalsRowFormula>
    </tableColumn>
    <tableColumn id="25" xr3:uid="{6560110B-4F40-754D-A9AD-724B92DC1C03}" name="Oct-26" totalsRowFunction="custom" dataDxfId="242" totalsRowDxfId="241">
      <totalsRowFormula>SUMIF(Table1[Type],"Income",Table1[Oct-26])-SUMIF(Table1[Type],"Expense",Table1[Oct-26])</totalsRowFormula>
    </tableColumn>
    <tableColumn id="26" xr3:uid="{87EFF3FA-BD4C-0A41-99A8-8E3E0B03CEBD}" name="Nov-26" totalsRowFunction="custom" dataDxfId="240" totalsRowDxfId="239">
      <totalsRowFormula>SUMIF(Table1[Type],"Income",Table1[Nov-26])-SUMIF(Table1[Type],"Expense",Table1[Nov-26])</totalsRowFormula>
    </tableColumn>
    <tableColumn id="27" xr3:uid="{B585B7F5-9B65-AA4E-9299-C1F623433190}" name="Dec-26" totalsRowFunction="custom" dataDxfId="238" totalsRowDxfId="237">
      <totalsRowFormula>SUMIF(Table1[Type],"Income",Table1[Dec-26])-SUMIF(Table1[Type],"Expense",Table1[Dec-26])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855C6-1BC8-294F-AF6F-6FC2D1650DCD}" name="Table14" displayName="Table14" ref="A12:Z23" totalsRowCount="1" headerRowDxfId="236" dataDxfId="235">
  <autoFilter ref="A12:Z22" xr:uid="{590855C6-1BC8-294F-AF6F-6FC2D1650DCD}"/>
  <tableColumns count="26">
    <tableColumn id="2" xr3:uid="{87F35A2E-90C1-BB4C-9EAF-445FB9DCF3C8}" name="Type" totalsRowLabel="Total" dataDxfId="234"/>
    <tableColumn id="3" xr3:uid="{182FACFC-DEA5-004B-93B7-24CC1B486B53}" name="Description" dataDxfId="233"/>
    <tableColumn id="4" xr3:uid="{D6C5FFEB-45EF-9544-9C0E-D7223093066D}" name="Jan-25" totalsRowFunction="custom" dataDxfId="232">
      <totalsRowFormula>(SUMIF(Table14[Type],"Income",Table14[Jan-25])-SUMIF(Table14[Type],"Expense",Table14[Jan-25]))</totalsRowFormula>
    </tableColumn>
    <tableColumn id="5" xr3:uid="{DD86B4E0-2789-3F47-BA61-3B913B097D36}" name="Feb-25" totalsRowFunction="custom" dataDxfId="231">
      <calculatedColumnFormula>Table14[[#Totals],[Jan-25]]</calculatedColumnFormula>
      <totalsRowFormula>SUMIF(Table14[Type],"Income",Table14[Feb-25])-SUMIF(Table14[Type],"Expense",Table14[Feb-25])</totalsRowFormula>
    </tableColumn>
    <tableColumn id="6" xr3:uid="{A1D77677-55B3-3E40-800F-750E27C40083}" name="Mar-25" totalsRowFunction="custom" dataDxfId="230">
      <totalsRowFormula>SUMIF(Table14[Type],"Income",Table14[Mar-25])-SUMIF(Table14[Type],"Expense",Table14[Mar-25])</totalsRowFormula>
    </tableColumn>
    <tableColumn id="7" xr3:uid="{77C68704-4F98-9A4F-A76D-7027F6E8EDFA}" name="Apr-25" totalsRowFunction="custom" dataDxfId="229">
      <totalsRowFormula>SUMIF(Table14[Type],"Income",Table14[Apr-25])-SUMIF(Table14[Type],"Expense",Table14[Apr-25])</totalsRowFormula>
    </tableColumn>
    <tableColumn id="8" xr3:uid="{56C7471B-CDFE-6A4A-9C7E-97952E25D2A1}" name="May-25" totalsRowFunction="custom" dataDxfId="228">
      <totalsRowFormula>SUMIF(Table14[Type],"Income",Table14[May-25])-SUMIF(Table14[Type],"Expense",Table14[May-25])</totalsRowFormula>
    </tableColumn>
    <tableColumn id="9" xr3:uid="{4D91CB3D-6538-D141-BD0E-E75BDAE6901D}" name="Jun-25" totalsRowFunction="custom" dataDxfId="227">
      <totalsRowFormula>SUMIF(Table14[Type],"Income",Table14[Jun-25])-SUMIF(Table14[Type],"Expense",Table14[Jun-25])</totalsRowFormula>
    </tableColumn>
    <tableColumn id="10" xr3:uid="{EEE36BD8-A409-EC42-AFD9-E98C00895B43}" name="Jul-25" totalsRowFunction="custom" dataDxfId="226">
      <totalsRowFormula>SUMIF(Table14[Type],"Income",Table14[Jul-25])-SUMIF(Table14[Type],"Expense",Table14[Jul-25])</totalsRowFormula>
    </tableColumn>
    <tableColumn id="11" xr3:uid="{C2C66AC9-90CE-FE4C-87DD-DD42D945E3EE}" name="Aug-25" totalsRowFunction="custom" dataDxfId="225">
      <totalsRowFormula>SUMIF(Table14[Type],"Income",Table14[Aug-25])-SUMIF(Table14[Type],"Expense",Table14[Aug-25])</totalsRowFormula>
    </tableColumn>
    <tableColumn id="12" xr3:uid="{367FAC79-13D7-B949-A645-C252637AC3BF}" name="Sep-25" totalsRowFunction="custom" dataDxfId="224">
      <totalsRowFormula>SUMIF(Table14[Type],"Income",Table14[Sep-25])-SUMIF(Table14[Type],"Expense",Table14[Sep-25])</totalsRowFormula>
    </tableColumn>
    <tableColumn id="13" xr3:uid="{88681E3C-D49F-6343-A3C5-3D960259AC13}" name="Oct-25" totalsRowFunction="custom" dataDxfId="223">
      <totalsRowFormula>SUMIF(Table14[Type],"Income",Table14[Oct-25])-SUMIF(Table14[Type],"Expense",Table14[Oct-25])</totalsRowFormula>
    </tableColumn>
    <tableColumn id="14" xr3:uid="{E84BBB5F-AFEC-4F44-9B30-E28DBA38A6A9}" name="Nov-25" totalsRowFunction="custom" dataDxfId="222">
      <totalsRowFormula>SUMIF(Table14[Type],"Income",Table14[Nov-25])-SUMIF(Table14[Type],"Expense",Table14[Nov-25])</totalsRowFormula>
    </tableColumn>
    <tableColumn id="15" xr3:uid="{539FDDB8-255A-2549-A7F2-5FE1D8B014A2}" name="Dec-25" totalsRowFunction="custom" dataDxfId="221">
      <totalsRowFormula>SUMIF(Table14[Type],"Income",Table14[Dec-25])-SUMIF(Table14[Type],"Expense",Table14[Dec-25])</totalsRowFormula>
    </tableColumn>
    <tableColumn id="16" xr3:uid="{5CD4E761-0E62-3746-AC3D-073A2D45EEEC}" name="Jan-26" totalsRowFunction="custom" dataDxfId="220">
      <totalsRowFormula>SUMIF(Table14[Type],"Income",Table14[Jan-26])-SUMIF(Table14[Type],"Expense",Table14[Jan-26])</totalsRowFormula>
    </tableColumn>
    <tableColumn id="17" xr3:uid="{B72538CE-E7A5-5D48-8598-91D53FEBB03A}" name="Feb-26" totalsRowFunction="custom" dataDxfId="219">
      <totalsRowFormula>SUMIF(Table14[Type],"Income",Table14[Feb-26])-SUMIF(Table14[Type],"Expense",Table14[Feb-26])</totalsRowFormula>
    </tableColumn>
    <tableColumn id="18" xr3:uid="{3009BF39-6934-4F45-9B01-202A67AF709B}" name="Mar-26" totalsRowFunction="custom" dataDxfId="218">
      <totalsRowFormula>SUMIF(Table14[Type],"Income",Table14[Mar-26])-SUMIF(Table14[Type],"Expense",Table14[Mar-26])</totalsRowFormula>
    </tableColumn>
    <tableColumn id="19" xr3:uid="{8799794C-FCB9-6E46-A560-4496CD5B67D8}" name="Apr-26" totalsRowFunction="custom" dataDxfId="217">
      <totalsRowFormula>SUMIF(Table14[Type],"Income",Table14[Apr-26])-SUMIF(Table14[Type],"Expense",Table14[Apr-26])</totalsRowFormula>
    </tableColumn>
    <tableColumn id="20" xr3:uid="{30DDF6F6-FEFC-6248-A459-2CB6302FF9D5}" name="May-26" totalsRowFunction="custom" dataDxfId="216">
      <totalsRowFormula>SUMIF(Table14[Type],"Income",Table14[May-26])-SUMIF(Table14[Type],"Expense",Table14[May-26])</totalsRowFormula>
    </tableColumn>
    <tableColumn id="21" xr3:uid="{2B603730-16BA-DD40-B41F-2F2B4FD00736}" name="Jun-26" totalsRowFunction="custom" dataDxfId="215">
      <totalsRowFormula>SUMIF(Table14[Type],"Income",Table14[Jun-26])-SUMIF(Table14[Type],"Expense",Table14[Jun-26])</totalsRowFormula>
    </tableColumn>
    <tableColumn id="22" xr3:uid="{4B87863A-49D7-D94A-A288-50EB94EF48E2}" name="Jul-26" totalsRowFunction="custom" dataDxfId="214">
      <totalsRowFormula>SUMIF(Table14[Type],"Income",Table14[Jul-26])-SUMIF(Table14[Type],"Expense",Table14[Jul-26])</totalsRowFormula>
    </tableColumn>
    <tableColumn id="23" xr3:uid="{8D802A87-B57C-5C4A-974F-EBAE1A66A0A9}" name="Aug-26" totalsRowFunction="custom" dataDxfId="213">
      <totalsRowFormula>SUMIF(Table14[Type],"Income",Table14[Aug-26])-SUMIF(Table14[Type],"Expense",Table14[Aug-26])</totalsRowFormula>
    </tableColumn>
    <tableColumn id="24" xr3:uid="{85A612EF-55A4-F347-BE5D-3724BA1B6728}" name="Sep-26" totalsRowFunction="custom" dataDxfId="212">
      <totalsRowFormula>SUMIF(Table14[Type],"Income",Table14[Sep-26])-SUMIF(Table14[Type],"Expense",Table14[Sep-26])</totalsRowFormula>
    </tableColumn>
    <tableColumn id="25" xr3:uid="{1DCF2272-B82B-8A43-945D-A8E9971A0212}" name="Oct-26" totalsRowFunction="custom" dataDxfId="211">
      <totalsRowFormula>SUMIF(Table14[Type],"Income",Table14[Oct-26])-SUMIF(Table14[Type],"Expense",Table14[Oct-26])</totalsRowFormula>
    </tableColumn>
    <tableColumn id="26" xr3:uid="{654941CF-0734-0A4D-A87D-3E3EAAA959CE}" name="Nov-26" totalsRowFunction="custom" dataDxfId="210">
      <totalsRowFormula>SUMIF(Table14[Type],"Income",Table14[Nov-26])-SUMIF(Table14[Type],"Expense",Table14[Nov-26])</totalsRowFormula>
    </tableColumn>
    <tableColumn id="27" xr3:uid="{CB8C53A9-0B50-444E-97F7-5FF1377B0BE2}" name="Dec-26" totalsRowFunction="custom" dataDxfId="209">
      <totalsRowFormula>SUMIF(Table14[Type],"Income",Table14[Dec-26])-SUMIF(Table14[Type],"Expense",Table14[Dec-26])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FFDEE-6792-954B-89FE-780058927A13}" name="Table4" displayName="Table4" ref="A1:B10" totalsRowShown="0" headerRowDxfId="208">
  <autoFilter ref="A1:B10" xr:uid="{342FFDEE-6792-954B-89FE-780058927A13}"/>
  <tableColumns count="2">
    <tableColumn id="1" xr3:uid="{DC4EA2CA-58E8-D047-B783-077A7B9AEA00}" name="Item"/>
    <tableColumn id="2" xr3:uid="{251FA106-3E44-A243-9612-3455B92D6131}" name="Val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55B724-5D35-FF45-9959-EBB0765FA62D}" name="Table146" displayName="Table146" ref="A12:Z23" totalsRowCount="1" headerRowDxfId="207" dataDxfId="206">
  <autoFilter ref="A12:Z22" xr:uid="{590855C6-1BC8-294F-AF6F-6FC2D1650DCD}"/>
  <tableColumns count="26">
    <tableColumn id="2" xr3:uid="{C926BD3B-AA9F-1445-A3A9-2C525065AF5D}" name="Type" totalsRowLabel="Total" dataDxfId="205" totalsRowDxfId="204"/>
    <tableColumn id="3" xr3:uid="{589D5209-02BF-1A4B-A06B-5A096901619D}" name="Description" dataDxfId="203" totalsRowDxfId="202"/>
    <tableColumn id="4" xr3:uid="{1A8C4090-9ADB-C64C-B9FE-C52DB5664949}" name="Jan-25" totalsRowFunction="custom" dataDxfId="201" totalsRowDxfId="200">
      <totalsRowFormula>(SUMIF(Table146[Type],"Income",Table146[Jan-25])-SUMIF(Table146[Type],"Expense",Table146[Jan-25]))</totalsRowFormula>
    </tableColumn>
    <tableColumn id="5" xr3:uid="{1CDA8B8F-5DED-6448-A5E5-9502FE0E3493}" name="Feb-25" totalsRowFunction="custom" dataDxfId="199" totalsRowDxfId="198">
      <calculatedColumnFormula>Table146[[#Totals],[Jan-25]]</calculatedColumnFormula>
      <totalsRowFormula>SUMIF(Table146[Type],"Income",Table146[Feb-25])-SUMIF(Table146[Type],"Expense",Table146[Feb-25])</totalsRowFormula>
    </tableColumn>
    <tableColumn id="6" xr3:uid="{6003DCBA-770D-0A44-B33A-EABB2751DABB}" name="Mar-25" totalsRowFunction="custom" dataDxfId="197" totalsRowDxfId="196">
      <totalsRowFormula>SUMIF(Table146[Type],"Income",Table146[Mar-25])-SUMIF(Table146[Type],"Expense",Table146[Mar-25])</totalsRowFormula>
    </tableColumn>
    <tableColumn id="7" xr3:uid="{81CA59ED-A793-C54E-A38C-9FFA930873F9}" name="Apr-25" totalsRowFunction="custom" dataDxfId="195" totalsRowDxfId="194">
      <totalsRowFormula>SUMIF(Table146[Type],"Income",Table146[Apr-25])-SUMIF(Table146[Type],"Expense",Table146[Apr-25])</totalsRowFormula>
    </tableColumn>
    <tableColumn id="8" xr3:uid="{0FCF4301-B2F5-214F-93E0-59BAF251FFF2}" name="May-25" totalsRowFunction="custom" dataDxfId="193" totalsRowDxfId="192">
      <totalsRowFormula>SUMIF(Table146[Type],"Income",Table146[May-25])-SUMIF(Table146[Type],"Expense",Table146[May-25])</totalsRowFormula>
    </tableColumn>
    <tableColumn id="9" xr3:uid="{B2C09F87-C9F1-3944-BB11-B836D7F6484C}" name="Jun-25" totalsRowFunction="custom" dataDxfId="191" totalsRowDxfId="190">
      <totalsRowFormula>SUMIF(Table146[Type],"Income",Table146[Jun-25])-SUMIF(Table146[Type],"Expense",Table146[Jun-25])</totalsRowFormula>
    </tableColumn>
    <tableColumn id="10" xr3:uid="{422C44B5-B487-5D41-A8A8-2C9907D73CFB}" name="Jul-25" totalsRowFunction="custom" dataDxfId="189" totalsRowDxfId="188">
      <totalsRowFormula>SUMIF(Table146[Type],"Income",Table146[Jul-25])-SUMIF(Table146[Type],"Expense",Table146[Jul-25])</totalsRowFormula>
    </tableColumn>
    <tableColumn id="11" xr3:uid="{FB28F0C3-F002-0343-A2ED-BAC1DF8C8F81}" name="Aug-25" totalsRowFunction="custom" dataDxfId="187" totalsRowDxfId="186">
      <totalsRowFormula>SUMIF(Table146[Type],"Income",Table146[Aug-25])-SUMIF(Table146[Type],"Expense",Table146[Aug-25])</totalsRowFormula>
    </tableColumn>
    <tableColumn id="12" xr3:uid="{F0B381CA-3709-E240-A0F9-2356CB42E75C}" name="Sep-25" totalsRowFunction="custom" dataDxfId="185" totalsRowDxfId="184">
      <totalsRowFormula>SUMIF(Table146[Type],"Income",Table146[Sep-25])-SUMIF(Table146[Type],"Expense",Table146[Sep-25])</totalsRowFormula>
    </tableColumn>
    <tableColumn id="13" xr3:uid="{AB6A3354-B80E-2B42-B495-E5C9AA29CF79}" name="Oct-25" totalsRowFunction="custom" dataDxfId="183" totalsRowDxfId="182">
      <totalsRowFormula>SUMIF(Table146[Type],"Income",Table146[Oct-25])-SUMIF(Table146[Type],"Expense",Table146[Oct-25])</totalsRowFormula>
    </tableColumn>
    <tableColumn id="14" xr3:uid="{94F5CAD9-5375-8843-9B9F-B715771CE61A}" name="Nov-25" totalsRowFunction="custom" dataDxfId="181" totalsRowDxfId="180">
      <totalsRowFormula>SUMIF(Table146[Type],"Income",Table146[Nov-25])-SUMIF(Table146[Type],"Expense",Table146[Nov-25])</totalsRowFormula>
    </tableColumn>
    <tableColumn id="15" xr3:uid="{94FAF652-37FC-4D40-A421-7D3B870B96C5}" name="Dec-25" totalsRowFunction="custom" dataDxfId="179" totalsRowDxfId="178">
      <totalsRowFormula>SUMIF(Table146[Type],"Income",Table146[Dec-25])-SUMIF(Table146[Type],"Expense",Table146[Dec-25])</totalsRowFormula>
    </tableColumn>
    <tableColumn id="16" xr3:uid="{26ACDADF-67AC-D546-BC18-174BB92223C2}" name="Jan-26" totalsRowFunction="custom" dataDxfId="177" totalsRowDxfId="176">
      <totalsRowFormula>SUMIF(Table146[Type],"Income",Table146[Jan-26])-SUMIF(Table146[Type],"Expense",Table146[Jan-26])</totalsRowFormula>
    </tableColumn>
    <tableColumn id="17" xr3:uid="{03650050-8BFE-D842-841F-0884122F9036}" name="Feb-26" totalsRowFunction="custom" dataDxfId="175" totalsRowDxfId="174">
      <totalsRowFormula>SUMIF(Table146[Type],"Income",Table146[Feb-26])-SUMIF(Table146[Type],"Expense",Table146[Feb-26])</totalsRowFormula>
    </tableColumn>
    <tableColumn id="18" xr3:uid="{B44081B2-FA7E-934C-A72B-9009A531DDBD}" name="Mar-26" totalsRowFunction="custom" dataDxfId="173" totalsRowDxfId="172">
      <totalsRowFormula>SUMIF(Table146[Type],"Income",Table146[Mar-26])-SUMIF(Table146[Type],"Expense",Table146[Mar-26])</totalsRowFormula>
    </tableColumn>
    <tableColumn id="19" xr3:uid="{0D5419DB-2137-C64D-8A3F-085E92582C9C}" name="Apr-26" totalsRowFunction="custom" dataDxfId="171" totalsRowDxfId="170">
      <totalsRowFormula>SUMIF(Table146[Type],"Income",Table146[Apr-26])-SUMIF(Table146[Type],"Expense",Table146[Apr-26])</totalsRowFormula>
    </tableColumn>
    <tableColumn id="20" xr3:uid="{770F7BEF-1F98-2740-B538-4B4CDEC3F833}" name="May-26" totalsRowFunction="custom" dataDxfId="169" totalsRowDxfId="168">
      <totalsRowFormula>SUMIF(Table146[Type],"Income",Table146[May-26])-SUMIF(Table146[Type],"Expense",Table146[May-26])</totalsRowFormula>
    </tableColumn>
    <tableColumn id="21" xr3:uid="{832BE011-AC3E-EF49-A420-03F327CC0C79}" name="Jun-26" totalsRowFunction="custom" dataDxfId="167" totalsRowDxfId="166">
      <totalsRowFormula>SUMIF(Table146[Type],"Income",Table146[Jun-26])-SUMIF(Table146[Type],"Expense",Table146[Jun-26])</totalsRowFormula>
    </tableColumn>
    <tableColumn id="22" xr3:uid="{9F608138-05CF-284B-B346-A245FD920AB9}" name="Jul-26" totalsRowFunction="custom" dataDxfId="165" totalsRowDxfId="164">
      <totalsRowFormula>SUMIF(Table146[Type],"Income",Table146[Jul-26])-SUMIF(Table146[Type],"Expense",Table146[Jul-26])</totalsRowFormula>
    </tableColumn>
    <tableColumn id="23" xr3:uid="{D32BD55C-B259-604A-BE54-EC30B0FC950D}" name="Aug-26" totalsRowFunction="custom" dataDxfId="163" totalsRowDxfId="162">
      <totalsRowFormula>SUMIF(Table146[Type],"Income",Table146[Aug-26])-SUMIF(Table146[Type],"Expense",Table146[Aug-26])</totalsRowFormula>
    </tableColumn>
    <tableColumn id="24" xr3:uid="{E8F4B43C-1126-5142-8D92-4B37B33DE878}" name="Sep-26" totalsRowFunction="custom" dataDxfId="161" totalsRowDxfId="160">
      <totalsRowFormula>SUMIF(Table146[Type],"Income",Table146[Sep-26])-SUMIF(Table146[Type],"Expense",Table146[Sep-26])</totalsRowFormula>
    </tableColumn>
    <tableColumn id="25" xr3:uid="{A439A783-04F4-A94E-9FA4-00FD9A6B7D91}" name="Oct-26" totalsRowFunction="custom" dataDxfId="159" totalsRowDxfId="158">
      <totalsRowFormula>SUMIF(Table146[Type],"Income",Table146[Oct-26])-SUMIF(Table146[Type],"Expense",Table146[Oct-26])</totalsRowFormula>
    </tableColumn>
    <tableColumn id="26" xr3:uid="{438FE258-E81E-3949-BE23-E6F354451E5E}" name="Nov-26" totalsRowFunction="custom" dataDxfId="157" totalsRowDxfId="156">
      <totalsRowFormula>SUMIF(Table146[Type],"Income",Table146[Nov-26])-SUMIF(Table146[Type],"Expense",Table146[Nov-26])</totalsRowFormula>
    </tableColumn>
    <tableColumn id="27" xr3:uid="{0F59CE68-1B3A-244A-A3DC-78CDACD2BF05}" name="Dec-26" totalsRowFunction="custom" dataDxfId="155" totalsRowDxfId="154">
      <totalsRowFormula>SUMIF(Table146[Type],"Income",Table146[Dec-26])-SUMIF(Table146[Type],"Expense",Table146[Dec-26])</totalsRow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BF35BA-F90A-6F4A-BCD9-B075D92F6171}" name="Table47" displayName="Table47" ref="A1:B10" totalsRowShown="0" headerRowDxfId="153">
  <autoFilter ref="A1:B10" xr:uid="{342FFDEE-6792-954B-89FE-780058927A13}"/>
  <tableColumns count="2">
    <tableColumn id="1" xr3:uid="{90C6723E-BDF2-EC4C-B635-AB82D9A9A2C6}" name="Item"/>
    <tableColumn id="2" xr3:uid="{A2379251-A814-BA4C-86AE-1087C78C2EDB}" name="Valu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1C60D8-76F2-5F46-83DC-4C2621C11D27}" name="Table1439" displayName="Table1439" ref="A12:AL23" totalsRowCount="1" headerRowDxfId="152" dataDxfId="151">
  <autoFilter ref="A12:AL22" xr:uid="{590855C6-1BC8-294F-AF6F-6FC2D1650DCD}"/>
  <tableColumns count="38">
    <tableColumn id="2" xr3:uid="{C2932692-1F2F-F94A-A6AF-1EA654AE9BFD}" name="Type" totalsRowLabel="Total" dataDxfId="150"/>
    <tableColumn id="3" xr3:uid="{04720572-92D7-6D48-A085-B6FC98D84FA0}" name="Description" dataDxfId="149"/>
    <tableColumn id="4" xr3:uid="{58FBFFF1-D12C-D540-8646-F428B2B51BA7}" name="Jan-25" totalsRowFunction="custom" dataDxfId="148">
      <totalsRowFormula>(SUMIF(Table1439[Type],"Income",Table1439[Jan-25])-SUMIF(Table1439[Type],"Expense",Table1439[Jan-25]))</totalsRowFormula>
    </tableColumn>
    <tableColumn id="5" xr3:uid="{D4F05DB0-B014-5945-A8F8-7F35E9F65D40}" name="Feb-25" totalsRowFunction="custom" dataDxfId="147">
      <calculatedColumnFormula>Table1439[[#Totals],[Jan-25]]</calculatedColumnFormula>
      <totalsRowFormula>SUMIF(Table1439[Type],"Income",Table1439[Feb-25])-SUMIF(Table1439[Type],"Expense",Table1439[Feb-25])</totalsRowFormula>
    </tableColumn>
    <tableColumn id="6" xr3:uid="{77DEFB2C-6C49-404D-938D-720351E98249}" name="Mar-25" totalsRowFunction="custom" dataDxfId="146">
      <totalsRowFormula>SUMIF(Table1439[Type],"Income",Table1439[Mar-25])-SUMIF(Table1439[Type],"Expense",Table1439[Mar-25])</totalsRowFormula>
    </tableColumn>
    <tableColumn id="7" xr3:uid="{D0A69600-DE1D-EB48-863B-9F12E9199392}" name="Apr-25" totalsRowFunction="custom" dataDxfId="145">
      <totalsRowFormula>SUMIF(Table1439[Type],"Income",Table1439[Apr-25])-SUMIF(Table1439[Type],"Expense",Table1439[Apr-25])</totalsRowFormula>
    </tableColumn>
    <tableColumn id="8" xr3:uid="{2D36D9B4-7D95-7147-815C-CCDE576A93DA}" name="May-25" totalsRowFunction="custom" dataDxfId="144">
      <totalsRowFormula>SUMIF(Table1439[Type],"Income",Table1439[May-25])-SUMIF(Table1439[Type],"Expense",Table1439[May-25])</totalsRowFormula>
    </tableColumn>
    <tableColumn id="9" xr3:uid="{9C25B630-E45F-134D-B5A2-6F610E812BAB}" name="Jun-25" totalsRowFunction="custom" dataDxfId="143">
      <totalsRowFormula>SUMIF(Table1439[Type],"Income",Table1439[Jun-25])-SUMIF(Table1439[Type],"Expense",Table1439[Jun-25])</totalsRowFormula>
    </tableColumn>
    <tableColumn id="10" xr3:uid="{8791CE1F-F0C4-B04D-8077-2B76775966B5}" name="Jul-25" totalsRowFunction="custom" dataDxfId="142">
      <totalsRowFormula>SUMIF(Table1439[Type],"Income",Table1439[Jul-25])-SUMIF(Table1439[Type],"Expense",Table1439[Jul-25])</totalsRowFormula>
    </tableColumn>
    <tableColumn id="11" xr3:uid="{B004F1AF-74F3-284D-8130-7DBEFB08DD1B}" name="Aug-25" totalsRowFunction="custom" dataDxfId="141">
      <totalsRowFormula>SUMIF(Table1439[Type],"Income",Table1439[Aug-25])-SUMIF(Table1439[Type],"Expense",Table1439[Aug-25])</totalsRowFormula>
    </tableColumn>
    <tableColumn id="12" xr3:uid="{975E9F36-8459-1B43-8361-F21E02ECF82D}" name="Sep-25" totalsRowFunction="custom" dataDxfId="140">
      <totalsRowFormula>SUMIF(Table1439[Type],"Income",Table1439[Sep-25])-SUMIF(Table1439[Type],"Expense",Table1439[Sep-25])</totalsRowFormula>
    </tableColumn>
    <tableColumn id="13" xr3:uid="{22B11117-530C-034C-830E-E758EEDCD593}" name="Oct-25" totalsRowFunction="custom" dataDxfId="139">
      <totalsRowFormula>SUMIF(Table1439[Type],"Income",Table1439[Oct-25])-SUMIF(Table1439[Type],"Expense",Table1439[Oct-25])</totalsRowFormula>
    </tableColumn>
    <tableColumn id="14" xr3:uid="{73991460-5681-8148-BE98-485DA6C16BE2}" name="Nov-25" totalsRowFunction="custom" dataDxfId="138">
      <totalsRowFormula>SUMIF(Table1439[Type],"Income",Table1439[Nov-25])-SUMIF(Table1439[Type],"Expense",Table1439[Nov-25])</totalsRowFormula>
    </tableColumn>
    <tableColumn id="15" xr3:uid="{6EF67CAA-A1C7-E445-9A12-1B14CDE6FCE4}" name="Dec-25" totalsRowFunction="custom" dataDxfId="137">
      <totalsRowFormula>SUMIF(Table1439[Type],"Income",Table1439[Dec-25])-SUMIF(Table1439[Type],"Expense",Table1439[Dec-25])</totalsRowFormula>
    </tableColumn>
    <tableColumn id="16" xr3:uid="{61669C2F-6E22-2049-9077-3DC1CF2DBD56}" name="Jan-26" totalsRowFunction="custom" dataDxfId="136">
      <totalsRowFormula>SUMIF(Table1439[Type],"Income",Table1439[Jan-26])-SUMIF(Table1439[Type],"Expense",Table1439[Jan-26])</totalsRowFormula>
    </tableColumn>
    <tableColumn id="17" xr3:uid="{61691EC9-5588-034B-8001-3E05B3874229}" name="Feb-26" totalsRowFunction="custom" dataDxfId="135">
      <totalsRowFormula>SUMIF(Table1439[Type],"Income",Table1439[Feb-26])-SUMIF(Table1439[Type],"Expense",Table1439[Feb-26])</totalsRowFormula>
    </tableColumn>
    <tableColumn id="18" xr3:uid="{8DF73F46-C3AB-3948-BF6C-99C143452E95}" name="Mar-26" totalsRowFunction="custom" dataDxfId="134">
      <totalsRowFormula>SUMIF(Table1439[Type],"Income",Table1439[Mar-26])-SUMIF(Table1439[Type],"Expense",Table1439[Mar-26])</totalsRowFormula>
    </tableColumn>
    <tableColumn id="19" xr3:uid="{808D33BE-7FD3-E644-A8FD-68DA9DA4878B}" name="Apr-26" totalsRowFunction="custom" dataDxfId="133">
      <totalsRowFormula>SUMIF(Table1439[Type],"Income",Table1439[Apr-26])-SUMIF(Table1439[Type],"Expense",Table1439[Apr-26])</totalsRowFormula>
    </tableColumn>
    <tableColumn id="20" xr3:uid="{DD72547D-E137-8F45-BA2C-334B3CEF9A10}" name="May-26" totalsRowFunction="custom" dataDxfId="132">
      <totalsRowFormula>SUMIF(Table1439[Type],"Income",Table1439[May-26])-SUMIF(Table1439[Type],"Expense",Table1439[May-26])</totalsRowFormula>
    </tableColumn>
    <tableColumn id="21" xr3:uid="{A44637D1-41C9-C14D-802A-F5F27E924FDF}" name="Jun-26" totalsRowFunction="custom" dataDxfId="131">
      <totalsRowFormula>SUMIF(Table1439[Type],"Income",Table1439[Jun-26])-SUMIF(Table1439[Type],"Expense",Table1439[Jun-26])</totalsRowFormula>
    </tableColumn>
    <tableColumn id="22" xr3:uid="{91341409-A68E-3646-9556-EC7EACF9098B}" name="Jul-26" totalsRowFunction="custom" dataDxfId="130">
      <totalsRowFormula>SUMIF(Table1439[Type],"Income",Table1439[Jul-26])-SUMIF(Table1439[Type],"Expense",Table1439[Jul-26])</totalsRowFormula>
    </tableColumn>
    <tableColumn id="23" xr3:uid="{053E201E-B16E-F744-81ED-C0A621DAC697}" name="Aug-26" totalsRowFunction="custom" dataDxfId="129">
      <totalsRowFormula>SUMIF(Table1439[Type],"Income",Table1439[Aug-26])-SUMIF(Table1439[Type],"Expense",Table1439[Aug-26])</totalsRowFormula>
    </tableColumn>
    <tableColumn id="24" xr3:uid="{5EDFDF03-1438-084C-A089-FB7C5F99F24E}" name="Sep-26" totalsRowFunction="custom" dataDxfId="128">
      <totalsRowFormula>SUMIF(Table1439[Type],"Income",Table1439[Sep-26])-SUMIF(Table1439[Type],"Expense",Table1439[Sep-26])</totalsRowFormula>
    </tableColumn>
    <tableColumn id="25" xr3:uid="{777092ED-DCEC-D14F-BA23-A815E9002A08}" name="Oct-26" totalsRowFunction="custom" dataDxfId="127">
      <totalsRowFormula>SUMIF(Table1439[Type],"Income",Table1439[Oct-26])-SUMIF(Table1439[Type],"Expense",Table1439[Oct-26])</totalsRowFormula>
    </tableColumn>
    <tableColumn id="26" xr3:uid="{B41585F8-EB5F-954E-8DE8-D7D51D5063F5}" name="Nov-26" totalsRowFunction="custom" dataDxfId="126">
      <totalsRowFormula>SUMIF(Table1439[Type],"Income",Table1439[Nov-26])-SUMIF(Table1439[Type],"Expense",Table1439[Nov-26])</totalsRowFormula>
    </tableColumn>
    <tableColumn id="27" xr3:uid="{FABAD5C3-8077-B14D-AD74-636F6E4E8C88}" name="Dec-26" totalsRowFunction="custom" dataDxfId="125">
      <totalsRowFormula>SUMIF(Table1439[Type],"Income",Table1439[Dec-26])-SUMIF(Table1439[Type],"Expense",Table1439[Dec-26])</totalsRowFormula>
    </tableColumn>
    <tableColumn id="1" xr3:uid="{BC985AAC-47C4-7143-8CA7-DF3E13533F30}" name="Jan-27" totalsRowFunction="custom" dataDxfId="124">
      <totalsRowFormula>SUMIF(Table1439[Type],"Income",Table1439[Jan-27])-SUMIF(Table1439[Type],"Expense",Table1439[Jan-27])</totalsRowFormula>
    </tableColumn>
    <tableColumn id="28" xr3:uid="{30953BBF-4E2E-C143-8E5D-F4D51BF00F6E}" name="Feb-27" totalsRowFunction="custom" dataDxfId="123">
      <totalsRowFormula>SUMIF(Table1439[Type],"Income",Table1439[Feb-27])-SUMIF(Table1439[Type],"Expense",Table1439[Feb-27])</totalsRowFormula>
    </tableColumn>
    <tableColumn id="29" xr3:uid="{47FA519F-EEC6-8D45-BCCB-1D7C18C12E08}" name="Mar-27" totalsRowFunction="custom" dataDxfId="122">
      <totalsRowFormula>SUMIF(Table1439[Type],"Income",Table1439[Mar-27])-SUMIF(Table1439[Type],"Expense",Table1439[Mar-27])</totalsRowFormula>
    </tableColumn>
    <tableColumn id="30" xr3:uid="{5141D8CA-B471-AD42-80D2-FB624A60C6C1}" name="Apr-27" totalsRowFunction="custom" dataDxfId="121">
      <totalsRowFormula>SUMIF(Table1439[Type],"Income",Table1439[Apr-27])-SUMIF(Table1439[Type],"Expense",Table1439[Apr-27])</totalsRowFormula>
    </tableColumn>
    <tableColumn id="31" xr3:uid="{369B246F-C269-A940-9603-BEC08BCAC310}" name="May-27" totalsRowFunction="custom" dataDxfId="120">
      <totalsRowFormula>SUMIF(Table1439[Type],"Income",Table1439[May-27])-SUMIF(Table1439[Type],"Expense",Table1439[May-27])</totalsRowFormula>
    </tableColumn>
    <tableColumn id="32" xr3:uid="{0630E5B3-3969-6748-B400-B1D58FAD0FBE}" name="Jun-27" totalsRowFunction="custom" dataDxfId="119">
      <totalsRowFormula>SUMIF(Table1439[Type],"Income",Table1439[Jun-27])-SUMIF(Table1439[Type],"Expense",Table1439[Jun-27])</totalsRowFormula>
    </tableColumn>
    <tableColumn id="33" xr3:uid="{6EAB4BB2-8900-A448-BC46-895274C534D2}" name="Jul-27" totalsRowFunction="custom" dataDxfId="118">
      <totalsRowFormula>SUMIF(Table1439[Type],"Income",Table1439[Jul-27])-SUMIF(Table1439[Type],"Expense",Table1439[Jul-27])</totalsRowFormula>
    </tableColumn>
    <tableColumn id="34" xr3:uid="{657B21EF-4CF0-5E41-83BE-6930DF78A299}" name="Aug-27" totalsRowFunction="custom" dataDxfId="117">
      <totalsRowFormula>SUMIF(Table1439[Type],"Income",Table1439[Aug-27])-SUMIF(Table1439[Type],"Expense",Table1439[Aug-27])</totalsRowFormula>
    </tableColumn>
    <tableColumn id="35" xr3:uid="{776FAB91-C9A3-7744-BF3F-316ECCF26DDC}" name="Sep-27" totalsRowFunction="custom" dataDxfId="116">
      <totalsRowFormula>SUMIF(Table1439[Type],"Income",Table1439[Sep-27])-SUMIF(Table1439[Type],"Expense",Table1439[Sep-27])</totalsRowFormula>
    </tableColumn>
    <tableColumn id="36" xr3:uid="{35A45CAA-00BC-D84E-A0A7-9E99CCBD12BA}" name="Oct-27" totalsRowFunction="custom" dataDxfId="115">
      <totalsRowFormula>SUMIF(Table1439[Type],"Income",Table1439[Oct-27])-SUMIF(Table1439[Type],"Expense",Table1439[Oct-27])</totalsRowFormula>
    </tableColumn>
    <tableColumn id="37" xr3:uid="{017D75F6-EC94-BA4D-9DB8-A0CB395806FC}" name="Nov-27" totalsRowFunction="custom" dataDxfId="114">
      <totalsRowFormula>SUMIF(Table1439[Type],"Income",Table1439[Nov-27])-SUMIF(Table1439[Type],"Expense",Table1439[Nov-27])</totalsRowFormula>
    </tableColumn>
    <tableColumn id="38" xr3:uid="{00CA4E77-A2EE-3940-8231-01003E604A4D}" name="Dec-27" totalsRowFunction="custom" dataDxfId="113">
      <totalsRowFormula>SUMIF(Table1439[Type],"Income",Table1439[Dec-27])-SUMIF(Table1439[Type],"Expense",Table1439[Dec-27])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A9A78E-969E-D348-A4D5-C4E362A21F08}" name="Table4810" displayName="Table4810" ref="A1:B10" totalsRowShown="0" headerRowDxfId="112" dataDxfId="111">
  <autoFilter ref="A1:B10" xr:uid="{342FFDEE-6792-954B-89FE-780058927A13}"/>
  <tableColumns count="2">
    <tableColumn id="1" xr3:uid="{2432050A-AA77-BD4A-9C57-AF398A9B91D6}" name="Item" dataDxfId="110"/>
    <tableColumn id="2" xr3:uid="{42FD9C9B-D4C8-2D47-80B5-D7698494B1BB}" name="Value" dataDxfId="10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244F1-147F-494A-89E7-8FEFC7383DCA}" name="Table143" displayName="Table143" ref="A12:Z23" totalsRowCount="1" headerRowDxfId="108" dataDxfId="107">
  <autoFilter ref="A12:Z22" xr:uid="{590855C6-1BC8-294F-AF6F-6FC2D1650DCD}"/>
  <tableColumns count="26">
    <tableColumn id="2" xr3:uid="{3E026D57-E845-4D49-AC70-A5AB593D6611}" name="Type" totalsRowLabel="Total" dataDxfId="106"/>
    <tableColumn id="3" xr3:uid="{AC2AA693-73A5-FB4E-91E5-0C4B1FA514B3}" name="Description" dataDxfId="105"/>
    <tableColumn id="4" xr3:uid="{D1C5B59F-7C07-E044-8154-F761B343F6C9}" name="Jan-25" totalsRowFunction="custom" dataDxfId="104">
      <totalsRowFormula>(SUMIF(Table143[Type],"Income",Table143[Jan-25])-SUMIF(Table143[Type],"Expense",Table143[Jan-25]))</totalsRowFormula>
    </tableColumn>
    <tableColumn id="5" xr3:uid="{E69892B1-4D86-484D-959C-45BB928700E8}" name="Feb-25" totalsRowFunction="custom" dataDxfId="103">
      <calculatedColumnFormula>Table143[[#Totals],[Jan-25]]</calculatedColumnFormula>
      <totalsRowFormula>SUMIF(Table143[Type],"Income",Table143[Feb-25])-SUMIF(Table143[Type],"Expense",Table143[Feb-25])</totalsRowFormula>
    </tableColumn>
    <tableColumn id="6" xr3:uid="{70954AD0-EF6D-3D4B-882A-31DF48D192DC}" name="Mar-25" totalsRowFunction="custom" dataDxfId="102">
      <totalsRowFormula>SUMIF(Table143[Type],"Income",Table143[Mar-25])-SUMIF(Table143[Type],"Expense",Table143[Mar-25])</totalsRowFormula>
    </tableColumn>
    <tableColumn id="7" xr3:uid="{FB083ED3-B064-1D49-860D-E8B59E1B8D77}" name="Apr-25" totalsRowFunction="custom" dataDxfId="101">
      <totalsRowFormula>SUMIF(Table143[Type],"Income",Table143[Apr-25])-SUMIF(Table143[Type],"Expense",Table143[Apr-25])</totalsRowFormula>
    </tableColumn>
    <tableColumn id="8" xr3:uid="{244AA27C-A80A-5B46-AFD0-DBF3B83694B5}" name="May-25" totalsRowFunction="custom" dataDxfId="100">
      <totalsRowFormula>SUMIF(Table143[Type],"Income",Table143[May-25])-SUMIF(Table143[Type],"Expense",Table143[May-25])</totalsRowFormula>
    </tableColumn>
    <tableColumn id="9" xr3:uid="{B5768EBF-4C2F-3747-A193-650A345764AF}" name="Jun-25" totalsRowFunction="custom" dataDxfId="99">
      <totalsRowFormula>SUMIF(Table143[Type],"Income",Table143[Jun-25])-SUMIF(Table143[Type],"Expense",Table143[Jun-25])</totalsRowFormula>
    </tableColumn>
    <tableColumn id="10" xr3:uid="{3C01235E-CACB-844D-9DB2-E59382320189}" name="Jul-25" totalsRowFunction="custom" dataDxfId="98">
      <totalsRowFormula>SUMIF(Table143[Type],"Income",Table143[Jul-25])-SUMIF(Table143[Type],"Expense",Table143[Jul-25])</totalsRowFormula>
    </tableColumn>
    <tableColumn id="11" xr3:uid="{79A88F27-1D78-754D-83B5-751EEBAA7B55}" name="Aug-25" totalsRowFunction="custom" dataDxfId="97">
      <totalsRowFormula>SUMIF(Table143[Type],"Income",Table143[Aug-25])-SUMIF(Table143[Type],"Expense",Table143[Aug-25])</totalsRowFormula>
    </tableColumn>
    <tableColumn id="12" xr3:uid="{09BEAB2A-A434-5242-BF3C-63F257E70F1C}" name="Sep-25" totalsRowFunction="custom" dataDxfId="96">
      <totalsRowFormula>SUMIF(Table143[Type],"Income",Table143[Sep-25])-SUMIF(Table143[Type],"Expense",Table143[Sep-25])</totalsRowFormula>
    </tableColumn>
    <tableColumn id="13" xr3:uid="{6CD98231-73F4-084D-B982-FFDF8FEA4CD1}" name="Oct-25" totalsRowFunction="custom" dataDxfId="95">
      <totalsRowFormula>SUMIF(Table143[Type],"Income",Table143[Oct-25])-SUMIF(Table143[Type],"Expense",Table143[Oct-25])</totalsRowFormula>
    </tableColumn>
    <tableColumn id="14" xr3:uid="{7CC67750-69FF-2E4E-9ACD-9F29F3654884}" name="Nov-25" totalsRowFunction="custom" dataDxfId="94">
      <totalsRowFormula>SUMIF(Table143[Type],"Income",Table143[Nov-25])-SUMIF(Table143[Type],"Expense",Table143[Nov-25])</totalsRowFormula>
    </tableColumn>
    <tableColumn id="15" xr3:uid="{6DCDF10E-9F05-0D48-8276-AF7F59AF9B74}" name="Dec-25" totalsRowFunction="custom" dataDxfId="93">
      <totalsRowFormula>SUMIF(Table143[Type],"Income",Table143[Dec-25])-SUMIF(Table143[Type],"Expense",Table143[Dec-25])</totalsRowFormula>
    </tableColumn>
    <tableColumn id="16" xr3:uid="{E4FC7492-FD65-104D-8C1C-0E57946E94EB}" name="Jan-26" totalsRowFunction="custom" dataDxfId="92">
      <totalsRowFormula>SUMIF(Table143[Type],"Income",Table143[Jan-26])-SUMIF(Table143[Type],"Expense",Table143[Jan-26])</totalsRowFormula>
    </tableColumn>
    <tableColumn id="17" xr3:uid="{EF47DF34-046A-B14C-A68B-FC2D48FBB0B0}" name="Feb-26" totalsRowFunction="custom" dataDxfId="91">
      <totalsRowFormula>SUMIF(Table143[Type],"Income",Table143[Feb-26])-SUMIF(Table143[Type],"Expense",Table143[Feb-26])</totalsRowFormula>
    </tableColumn>
    <tableColumn id="18" xr3:uid="{E0CCBE62-B915-6443-B3A2-25D4ACBD8EC7}" name="Mar-26" totalsRowFunction="custom" dataDxfId="90">
      <totalsRowFormula>SUMIF(Table143[Type],"Income",Table143[Mar-26])-SUMIF(Table143[Type],"Expense",Table143[Mar-26])</totalsRowFormula>
    </tableColumn>
    <tableColumn id="19" xr3:uid="{97EFEFA5-7907-D647-95DC-F878F50207BD}" name="Apr-26" totalsRowFunction="custom" dataDxfId="89">
      <totalsRowFormula>SUMIF(Table143[Type],"Income",Table143[Apr-26])-SUMIF(Table143[Type],"Expense",Table143[Apr-26])</totalsRowFormula>
    </tableColumn>
    <tableColumn id="20" xr3:uid="{BAE3588E-C66B-7644-BD48-5DA9906D08E8}" name="May-26" totalsRowFunction="custom" dataDxfId="88">
      <totalsRowFormula>SUMIF(Table143[Type],"Income",Table143[May-26])-SUMIF(Table143[Type],"Expense",Table143[May-26])</totalsRowFormula>
    </tableColumn>
    <tableColumn id="21" xr3:uid="{05F8E131-6CD5-6547-AA46-F5BB343B5DC5}" name="Jun-26" totalsRowFunction="custom" dataDxfId="87">
      <totalsRowFormula>SUMIF(Table143[Type],"Income",Table143[Jun-26])-SUMIF(Table143[Type],"Expense",Table143[Jun-26])</totalsRowFormula>
    </tableColumn>
    <tableColumn id="22" xr3:uid="{4FB20EF6-332F-CB41-8951-0271542C9041}" name="Jul-26" totalsRowFunction="custom" dataDxfId="86">
      <totalsRowFormula>SUMIF(Table143[Type],"Income",Table143[Jul-26])-SUMIF(Table143[Type],"Expense",Table143[Jul-26])</totalsRowFormula>
    </tableColumn>
    <tableColumn id="23" xr3:uid="{6944EF78-6E59-6848-B598-130FECD4C10A}" name="Aug-26" totalsRowFunction="custom" dataDxfId="85">
      <totalsRowFormula>SUMIF(Table143[Type],"Income",Table143[Aug-26])-SUMIF(Table143[Type],"Expense",Table143[Aug-26])</totalsRowFormula>
    </tableColumn>
    <tableColumn id="24" xr3:uid="{CA0DCFA0-435D-2E43-886C-C42EC13679ED}" name="Sep-26" totalsRowFunction="custom" dataDxfId="84">
      <totalsRowFormula>SUMIF(Table143[Type],"Income",Table143[Sep-26])-SUMIF(Table143[Type],"Expense",Table143[Sep-26])</totalsRowFormula>
    </tableColumn>
    <tableColumn id="25" xr3:uid="{41A20969-9BD0-FB42-929C-F11BDB0D6C47}" name="Oct-26" totalsRowFunction="custom" dataDxfId="83">
      <totalsRowFormula>SUMIF(Table143[Type],"Income",Table143[Oct-26])-SUMIF(Table143[Type],"Expense",Table143[Oct-26])</totalsRowFormula>
    </tableColumn>
    <tableColumn id="26" xr3:uid="{AB5738C0-A76A-DF48-8036-9C1F67B5ED90}" name="Nov-26" totalsRowFunction="custom" dataDxfId="82">
      <totalsRowFormula>SUMIF(Table143[Type],"Income",Table143[Nov-26])-SUMIF(Table143[Type],"Expense",Table143[Nov-26])</totalsRowFormula>
    </tableColumn>
    <tableColumn id="27" xr3:uid="{9299A353-A1BB-E845-9D78-D8C9053D8BE6}" name="Dec-26" totalsRowFunction="custom" dataDxfId="81">
      <totalsRowFormula>SUMIF(Table143[Type],"Income",Table143[Dec-26])-SUMIF(Table143[Type],"Expense",Table143[Dec-26])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F76C31-3ABB-9942-AA99-5054DF0D4C9E}" name="Table48" displayName="Table48" ref="A1:B10" totalsRowShown="0" headerRowDxfId="80">
  <autoFilter ref="A1:B10" xr:uid="{342FFDEE-6792-954B-89FE-780058927A13}"/>
  <tableColumns count="2">
    <tableColumn id="1" xr3:uid="{69F81BC6-B02E-1343-9E4E-2EB1142577E4}" name="Item"/>
    <tableColumn id="2" xr3:uid="{201451F2-DCF0-3F4C-A2DE-B67B6513CA2A}" name="Valu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0E5FAE-8C14-2C4C-98A9-C702DBBF41C2}" name="Table143911" displayName="Table143911" ref="A12:BJ23" totalsRowCount="1" headerRowDxfId="79" dataDxfId="78">
  <autoFilter ref="A12:BJ22" xr:uid="{590855C6-1BC8-294F-AF6F-6FC2D1650DCD}"/>
  <tableColumns count="62">
    <tableColumn id="2" xr3:uid="{A734D8D3-2B8D-BD4E-A26F-32F081368145}" name="Type" totalsRowLabel="Total" dataDxfId="61"/>
    <tableColumn id="3" xr3:uid="{0645B01B-514B-AF4A-AC68-6E1CD8C96D0B}" name="Description" dataDxfId="60"/>
    <tableColumn id="4" xr3:uid="{BD53C4EF-7000-C84A-A1D0-3C7ED0FAF40F}" name="Jan-25" totalsRowFunction="custom" dataDxfId="59">
      <totalsRowFormula>(SUMIF(Table143911[Type],"Income",Table143911[Jan-25])-SUMIF(Table143911[Type],"Expense",Table143911[Jan-25]))</totalsRowFormula>
    </tableColumn>
    <tableColumn id="5" xr3:uid="{D40A0C76-AB70-CA4A-9A87-97414A026C48}" name="Feb-25" totalsRowFunction="custom" dataDxfId="58">
      <calculatedColumnFormula>Table143911[[#Totals],[Jan-25]]</calculatedColumnFormula>
      <totalsRowFormula>SUMIF(Table143911[Type],"Income",Table143911[Feb-25])-SUMIF(Table143911[Type],"Expense",Table143911[Feb-25])</totalsRowFormula>
    </tableColumn>
    <tableColumn id="6" xr3:uid="{48EFA5C9-2D89-5C4A-8CD8-63C1A4792E1C}" name="Mar-25" totalsRowFunction="custom" dataDxfId="57">
      <totalsRowFormula>SUMIF(Table143911[Type],"Income",Table143911[Mar-25])-SUMIF(Table143911[Type],"Expense",Table143911[Mar-25])</totalsRowFormula>
    </tableColumn>
    <tableColumn id="7" xr3:uid="{AEBD216A-04DE-AB4F-9B0D-314B2CC24FD0}" name="Apr-25" totalsRowFunction="custom" dataDxfId="56">
      <totalsRowFormula>SUMIF(Table143911[Type],"Income",Table143911[Apr-25])-SUMIF(Table143911[Type],"Expense",Table143911[Apr-25])</totalsRowFormula>
    </tableColumn>
    <tableColumn id="8" xr3:uid="{55233AD0-0892-5D4D-8750-1283F39DDCF7}" name="May-25" totalsRowFunction="custom" dataDxfId="55">
      <totalsRowFormula>SUMIF(Table143911[Type],"Income",Table143911[May-25])-SUMIF(Table143911[Type],"Expense",Table143911[May-25])</totalsRowFormula>
    </tableColumn>
    <tableColumn id="9" xr3:uid="{59F55651-7A6F-6045-A3AA-50B9351A9A13}" name="Jun-25" totalsRowFunction="custom" dataDxfId="54">
      <totalsRowFormula>SUMIF(Table143911[Type],"Income",Table143911[Jun-25])-SUMIF(Table143911[Type],"Expense",Table143911[Jun-25])</totalsRowFormula>
    </tableColumn>
    <tableColumn id="10" xr3:uid="{C01B36FF-9AD4-BE48-B3CC-A93FBD903386}" name="Jul-25" totalsRowFunction="custom" dataDxfId="53">
      <totalsRowFormula>SUMIF(Table143911[Type],"Income",Table143911[Jul-25])-SUMIF(Table143911[Type],"Expense",Table143911[Jul-25])</totalsRowFormula>
    </tableColumn>
    <tableColumn id="11" xr3:uid="{4477E355-254E-524D-929D-082252D2D09B}" name="Aug-25" totalsRowFunction="custom" dataDxfId="52">
      <totalsRowFormula>SUMIF(Table143911[Type],"Income",Table143911[Aug-25])-SUMIF(Table143911[Type],"Expense",Table143911[Aug-25])</totalsRowFormula>
    </tableColumn>
    <tableColumn id="12" xr3:uid="{37F61A80-3922-E341-8629-63A2F99A3535}" name="Sep-25" totalsRowFunction="custom" dataDxfId="51">
      <totalsRowFormula>SUMIF(Table143911[Type],"Income",Table143911[Sep-25])-SUMIF(Table143911[Type],"Expense",Table143911[Sep-25])</totalsRowFormula>
    </tableColumn>
    <tableColumn id="13" xr3:uid="{6E6584E3-7B59-454E-88E4-B8CE180232F4}" name="Oct-25" totalsRowFunction="custom" dataDxfId="50">
      <totalsRowFormula>SUMIF(Table143911[Type],"Income",Table143911[Oct-25])-SUMIF(Table143911[Type],"Expense",Table143911[Oct-25])</totalsRowFormula>
    </tableColumn>
    <tableColumn id="14" xr3:uid="{A424B7D7-C63E-7648-8D6E-672494C909DD}" name="Nov-25" totalsRowFunction="custom" dataDxfId="49">
      <totalsRowFormula>SUMIF(Table143911[Type],"Income",Table143911[Nov-25])-SUMIF(Table143911[Type],"Expense",Table143911[Nov-25])</totalsRowFormula>
    </tableColumn>
    <tableColumn id="15" xr3:uid="{5A5850DE-C198-2B4C-899A-F37F7CF5BC43}" name="Dec-25" totalsRowFunction="custom" dataDxfId="48">
      <totalsRowFormula>SUMIF(Table143911[Type],"Income",Table143911[Dec-25])-SUMIF(Table143911[Type],"Expense",Table143911[Dec-25])</totalsRowFormula>
    </tableColumn>
    <tableColumn id="16" xr3:uid="{91C7DD30-06C9-664A-B836-EB4C42DB1B8D}" name="Jan-26" totalsRowFunction="custom" dataDxfId="47">
      <totalsRowFormula>SUMIF(Table143911[Type],"Income",Table143911[Jan-26])-SUMIF(Table143911[Type],"Expense",Table143911[Jan-26])</totalsRowFormula>
    </tableColumn>
    <tableColumn id="17" xr3:uid="{8EDD8398-F4B4-BA42-8347-303C09BE36A7}" name="Feb-26" totalsRowFunction="custom" dataDxfId="46">
      <totalsRowFormula>SUMIF(Table143911[Type],"Income",Table143911[Feb-26])-SUMIF(Table143911[Type],"Expense",Table143911[Feb-26])</totalsRowFormula>
    </tableColumn>
    <tableColumn id="18" xr3:uid="{94E46017-B763-CA40-9E7F-3B40DD8C4B32}" name="Mar-26" totalsRowFunction="custom" dataDxfId="45">
      <totalsRowFormula>SUMIF(Table143911[Type],"Income",Table143911[Mar-26])-SUMIF(Table143911[Type],"Expense",Table143911[Mar-26])</totalsRowFormula>
    </tableColumn>
    <tableColumn id="19" xr3:uid="{5014EB51-312E-2A4B-93F7-49292A33CA72}" name="Apr-26" totalsRowFunction="custom" dataDxfId="44">
      <totalsRowFormula>SUMIF(Table143911[Type],"Income",Table143911[Apr-26])-SUMIF(Table143911[Type],"Expense",Table143911[Apr-26])</totalsRowFormula>
    </tableColumn>
    <tableColumn id="20" xr3:uid="{9EE2FF09-CC2B-AD43-B98C-03DBC1AAE184}" name="May-26" totalsRowFunction="custom" dataDxfId="43">
      <totalsRowFormula>SUMIF(Table143911[Type],"Income",Table143911[May-26])-SUMIF(Table143911[Type],"Expense",Table143911[May-26])</totalsRowFormula>
    </tableColumn>
    <tableColumn id="21" xr3:uid="{2677A8CD-C7F4-8347-BE4F-15A4848C058E}" name="Jun-26" totalsRowFunction="custom" dataDxfId="42">
      <totalsRowFormula>SUMIF(Table143911[Type],"Income",Table143911[Jun-26])-SUMIF(Table143911[Type],"Expense",Table143911[Jun-26])</totalsRowFormula>
    </tableColumn>
    <tableColumn id="22" xr3:uid="{D8E49117-AC9E-B74A-BA1A-43D985ABCD7A}" name="Jul-26" totalsRowFunction="custom" dataDxfId="41">
      <totalsRowFormula>SUMIF(Table143911[Type],"Income",Table143911[Jul-26])-SUMIF(Table143911[Type],"Expense",Table143911[Jul-26])</totalsRowFormula>
    </tableColumn>
    <tableColumn id="23" xr3:uid="{78AD8196-8CC1-D343-A75D-8096E173AE98}" name="Aug-26" totalsRowFunction="custom" dataDxfId="40">
      <totalsRowFormula>SUMIF(Table143911[Type],"Income",Table143911[Aug-26])-SUMIF(Table143911[Type],"Expense",Table143911[Aug-26])</totalsRowFormula>
    </tableColumn>
    <tableColumn id="24" xr3:uid="{65A788AE-B596-0149-B4DB-6BE2BE7B33EB}" name="Sep-26" totalsRowFunction="custom" dataDxfId="39">
      <totalsRowFormula>SUMIF(Table143911[Type],"Income",Table143911[Sep-26])-SUMIF(Table143911[Type],"Expense",Table143911[Sep-26])</totalsRowFormula>
    </tableColumn>
    <tableColumn id="25" xr3:uid="{E6150122-4B82-854D-AC5D-9FB9A08B0311}" name="Oct-26" totalsRowFunction="custom" dataDxfId="38">
      <totalsRowFormula>SUMIF(Table143911[Type],"Income",Table143911[Oct-26])-SUMIF(Table143911[Type],"Expense",Table143911[Oct-26])</totalsRowFormula>
    </tableColumn>
    <tableColumn id="26" xr3:uid="{1CF5E397-FFFB-B84B-A52C-C6C2E8CD03DA}" name="Nov-26" totalsRowFunction="custom" dataDxfId="37">
      <totalsRowFormula>SUMIF(Table143911[Type],"Income",Table143911[Nov-26])-SUMIF(Table143911[Type],"Expense",Table143911[Nov-26])</totalsRowFormula>
    </tableColumn>
    <tableColumn id="27" xr3:uid="{67B87692-213F-DE45-B633-C8B3D041CFBA}" name="Dec-26" totalsRowFunction="custom" dataDxfId="36">
      <totalsRowFormula>SUMIF(Table143911[Type],"Income",Table143911[Dec-26])-SUMIF(Table143911[Type],"Expense",Table143911[Dec-26])</totalsRowFormula>
    </tableColumn>
    <tableColumn id="1" xr3:uid="{B572A98D-38DE-3E43-AED4-2984102700E1}" name="Jan-27" totalsRowFunction="custom" dataDxfId="35">
      <totalsRowFormula>SUMIF(Table143911[Type],"Income",Table143911[Jan-27])-SUMIF(Table143911[Type],"Expense",Table143911[Jan-27])</totalsRowFormula>
    </tableColumn>
    <tableColumn id="28" xr3:uid="{55B50486-743D-E540-B0F6-9C3F45EE961A}" name="Feb-27" totalsRowFunction="custom" dataDxfId="34">
      <totalsRowFormula>SUMIF(Table143911[Type],"Income",Table143911[Feb-27])-SUMIF(Table143911[Type],"Expense",Table143911[Feb-27])</totalsRowFormula>
    </tableColumn>
    <tableColumn id="29" xr3:uid="{2061CB3E-7BA7-2644-B12C-C18E618F753F}" name="Mar-27" totalsRowFunction="custom" dataDxfId="33">
      <totalsRowFormula>SUMIF(Table143911[Type],"Income",Table143911[Mar-27])-SUMIF(Table143911[Type],"Expense",Table143911[Mar-27])</totalsRowFormula>
    </tableColumn>
    <tableColumn id="30" xr3:uid="{0F14E233-CD8E-B746-80B8-151CF892D221}" name="Apr-27" totalsRowFunction="custom" dataDxfId="32">
      <totalsRowFormula>SUMIF(Table143911[Type],"Income",Table143911[Apr-27])-SUMIF(Table143911[Type],"Expense",Table143911[Apr-27])</totalsRowFormula>
    </tableColumn>
    <tableColumn id="31" xr3:uid="{07EE7363-064F-9647-8D6E-F933939BC41B}" name="May-27" totalsRowFunction="custom" dataDxfId="31">
      <totalsRowFormula>SUMIF(Table143911[Type],"Income",Table143911[May-27])-SUMIF(Table143911[Type],"Expense",Table143911[May-27])</totalsRowFormula>
    </tableColumn>
    <tableColumn id="32" xr3:uid="{1C23163A-970B-FC43-B6AE-9CBDA8B8D234}" name="Jun-27" totalsRowFunction="custom" dataDxfId="30">
      <totalsRowFormula>SUMIF(Table143911[Type],"Income",Table143911[Jun-27])-SUMIF(Table143911[Type],"Expense",Table143911[Jun-27])</totalsRowFormula>
    </tableColumn>
    <tableColumn id="33" xr3:uid="{FBAF5714-D1D1-4046-9926-DD281A7CA585}" name="Jul-27" totalsRowFunction="custom" dataDxfId="29">
      <totalsRowFormula>SUMIF(Table143911[Type],"Income",Table143911[Jul-27])-SUMIF(Table143911[Type],"Expense",Table143911[Jul-27])</totalsRowFormula>
    </tableColumn>
    <tableColumn id="34" xr3:uid="{8A0D74F8-BDB9-554B-919A-AEB930C07CA8}" name="Aug-27" totalsRowFunction="custom" dataDxfId="28">
      <totalsRowFormula>SUMIF(Table143911[Type],"Income",Table143911[Aug-27])-SUMIF(Table143911[Type],"Expense",Table143911[Aug-27])</totalsRowFormula>
    </tableColumn>
    <tableColumn id="35" xr3:uid="{B2F66E44-CD94-EA47-8AF1-CD26EC7E2D52}" name="Sep-27" totalsRowFunction="custom" dataDxfId="27">
      <totalsRowFormula>SUMIF(Table143911[Type],"Income",Table143911[Sep-27])-SUMIF(Table143911[Type],"Expense",Table143911[Sep-27])</totalsRowFormula>
    </tableColumn>
    <tableColumn id="36" xr3:uid="{0466FA33-732E-864F-AC09-23D25A71F83F}" name="Oct-27" totalsRowFunction="custom" dataDxfId="26">
      <totalsRowFormula>SUMIF(Table143911[Type],"Income",Table143911[Oct-27])-SUMIF(Table143911[Type],"Expense",Table143911[Oct-27])</totalsRowFormula>
    </tableColumn>
    <tableColumn id="37" xr3:uid="{00A6726D-F810-0942-81B0-BF3ADE0E2987}" name="Nov-27" totalsRowFunction="custom" dataDxfId="25">
      <totalsRowFormula>SUMIF(Table143911[Type],"Income",Table143911[Nov-27])-SUMIF(Table143911[Type],"Expense",Table143911[Nov-27])</totalsRowFormula>
    </tableColumn>
    <tableColumn id="38" xr3:uid="{2F071707-9BFF-3542-B911-D0697A5940D9}" name="Dec-27" totalsRowFunction="custom" dataDxfId="24">
      <totalsRowFormula>SUMIF(Table143911[Type],"Income",Table143911[Dec-27])-SUMIF(Table143911[Type],"Expense",Table143911[Dec-27])</totalsRowFormula>
    </tableColumn>
    <tableColumn id="39" xr3:uid="{5E022246-5216-FE49-8136-680FB738515C}" name="Jan-28" totalsRowFunction="custom" dataDxfId="23">
      <totalsRowFormula>SUMIF(Table143911[Type], "Income",Table143911[Jan-28])-SUMIF(Table143911[Type], "Expense",Table143911[Jan-28])</totalsRowFormula>
    </tableColumn>
    <tableColumn id="40" xr3:uid="{94491051-3AD8-CE4B-BBC2-BB1C561FF9EE}" name="Feb-28" totalsRowFunction="custom" dataDxfId="22">
      <totalsRowFormula>SUMIF(Table143911[Type], "Income",Table143911[Feb-28])-SUMIF(Table143911[Type], "Expense",Table143911[Feb-28])</totalsRowFormula>
    </tableColumn>
    <tableColumn id="41" xr3:uid="{535A7005-579B-574B-82BD-678946FD1E82}" name="Mar-28" totalsRowFunction="custom" dataDxfId="21">
      <totalsRowFormula>SUMIF(Table143911[Type], "Income",Table143911[Mar-28])-SUMIF(Table143911[Type], "Expense",Table143911[Mar-28])</totalsRowFormula>
    </tableColumn>
    <tableColumn id="42" xr3:uid="{E0A81722-387B-2045-9FDD-786610EBA8D4}" name="Apr-28" totalsRowFunction="custom" dataDxfId="20">
      <totalsRowFormula>SUMIF(Table143911[Type], "Income",Table143911[Apr-28])-SUMIF(Table143911[Type], "Expense",Table143911[Apr-28])</totalsRowFormula>
    </tableColumn>
    <tableColumn id="43" xr3:uid="{08811D0D-4116-5F42-BF75-91DF52309BBE}" name="May-28" totalsRowFunction="custom" dataDxfId="19">
      <totalsRowFormula>SUMIF(Table143911[Type], "Income",Table143911[May-28])-SUMIF(Table143911[Type], "Expense",Table143911[May-28])</totalsRowFormula>
    </tableColumn>
    <tableColumn id="44" xr3:uid="{693C084F-0238-6C4F-8930-01D76A97674A}" name="Jun-28" totalsRowFunction="custom" dataDxfId="18">
      <totalsRowFormula>SUMIF(Table143911[Type], "Income",Table143911[Jun-28])-SUMIF(Table143911[Type], "Expense",Table143911[Jun-28])</totalsRowFormula>
    </tableColumn>
    <tableColumn id="45" xr3:uid="{41E83C33-ACD0-7E4D-B368-EBCFBD284477}" name="Jul-28" totalsRowFunction="custom" dataDxfId="17">
      <totalsRowFormula>SUMIF(Table143911[Type], "Income",Table143911[Jul-28])-SUMIF(Table143911[Type], "Expense",Table143911[Jul-28])</totalsRowFormula>
    </tableColumn>
    <tableColumn id="46" xr3:uid="{F77C54BC-21FA-E043-8E95-0F4E444F6EFA}" name="Aug-28" totalsRowFunction="custom" dataDxfId="16">
      <totalsRowFormula>SUMIF(Table143911[Type], "Income",Table143911[Aug-28])-SUMIF(Table143911[Type], "Expense",Table143911[Aug-28])</totalsRowFormula>
    </tableColumn>
    <tableColumn id="47" xr3:uid="{12CB398B-15ED-6148-9195-F2C10041F181}" name="Sep-28" totalsRowFunction="custom" dataDxfId="15">
      <totalsRowFormula>SUMIF(Table143911[Type], "Income",Table143911[Sep-28])-SUMIF(Table143911[Type], "Expense",Table143911[Sep-28])</totalsRowFormula>
    </tableColumn>
    <tableColumn id="48" xr3:uid="{95447DA8-4C65-BE4C-9FB6-972D72FBC6CB}" name="Oct-28" totalsRowFunction="custom" dataDxfId="14">
      <totalsRowFormula>SUMIF(Table143911[Type], "Income",Table143911[Oct-28])-SUMIF(Table143911[Type], "Expense",Table143911[Oct-28])</totalsRowFormula>
    </tableColumn>
    <tableColumn id="49" xr3:uid="{4309F4C2-3175-5A4F-8D54-BC05E92B5030}" name="Nov-28" totalsRowFunction="custom" dataDxfId="13">
      <totalsRowFormula>SUMIF(Table143911[Type], "Income",Table143911[Nov-28])-SUMIF(Table143911[Type], "Expense",Table143911[Nov-28])</totalsRowFormula>
    </tableColumn>
    <tableColumn id="50" xr3:uid="{510A4ED6-39FE-754A-B22B-47D07D739CB3}" name="Dec-28" totalsRowFunction="custom" dataDxfId="12">
      <totalsRowFormula>SUMIF(Table143911[Type], "Income",Table143911[Dec-28])-SUMIF(Table143911[Type], "Expense",Table143911[Dec-28])</totalsRowFormula>
    </tableColumn>
    <tableColumn id="51" xr3:uid="{645A75E9-C392-7342-8B5F-4896628C4CD9}" name="Jan-29" totalsRowFunction="custom" dataDxfId="11">
      <totalsRowFormula>SUMIF(Table143911[Type], "Income",Table143911[Jan-29])-SUMIF(Table143911[Type], "Expense",Table143911[Jan-29])</totalsRowFormula>
    </tableColumn>
    <tableColumn id="52" xr3:uid="{1382D88F-1785-9A43-81B7-862E7FF2DBBF}" name="Feb-29" totalsRowFunction="custom" dataDxfId="10">
      <totalsRowFormula>SUMIF(Table143911[Type], "Income",Table143911[Feb-29])-SUMIF(Table143911[Type], "Expense",Table143911[Feb-29])</totalsRowFormula>
    </tableColumn>
    <tableColumn id="53" xr3:uid="{D259A2AA-7B11-C540-89A2-D4145FB09439}" name="Mar-29" totalsRowFunction="custom" dataDxfId="9">
      <totalsRowFormula>SUMIF(Table143911[Type], "Income",Table143911[Mar-29])-SUMIF(Table143911[Type], "Expense",Table143911[Mar-29])</totalsRowFormula>
    </tableColumn>
    <tableColumn id="54" xr3:uid="{7C8356B3-4760-C94F-952C-05A95AC2CD89}" name="Apr-29" totalsRowFunction="custom" dataDxfId="8">
      <totalsRowFormula>SUMIF(Table143911[Type], "Income",Table143911[Apr-29])-SUMIF(Table143911[Type], "Expense",Table143911[Apr-29])</totalsRowFormula>
    </tableColumn>
    <tableColumn id="55" xr3:uid="{A44C5F8B-085C-084F-9290-09850ACC5C65}" name="May-29" totalsRowFunction="custom" dataDxfId="7">
      <totalsRowFormula>SUMIF(Table143911[Type], "Income",Table143911[May-29])-SUMIF(Table143911[Type], "Expense",Table143911[May-29])</totalsRowFormula>
    </tableColumn>
    <tableColumn id="56" xr3:uid="{AEBD7DED-27D1-DA45-ACFB-023EBABA1F5E}" name="Jun-29" totalsRowFunction="custom" dataDxfId="6">
      <totalsRowFormula>SUMIF(Table143911[Type], "Income",Table143911[Jun-29])-SUMIF(Table143911[Type], "Expense",Table143911[Jun-29])</totalsRowFormula>
    </tableColumn>
    <tableColumn id="57" xr3:uid="{94D204F8-74AD-0F47-89D2-60773966E50D}" name="Jul-29" totalsRowFunction="custom" dataDxfId="5">
      <totalsRowFormula>SUMIF(Table143911[Type], "Income",Table143911[Jul-29])-SUMIF(Table143911[Type], "Expense",Table143911[Jul-29])</totalsRowFormula>
    </tableColumn>
    <tableColumn id="58" xr3:uid="{66C0118C-F60F-9A45-B311-23BFCA351189}" name="Aug-29" totalsRowFunction="custom" dataDxfId="4">
      <totalsRowFormula>SUMIF(Table143911[Type], "Income",Table143911[Aug-29])-SUMIF(Table143911[Type], "Expense",Table143911[Aug-29])</totalsRowFormula>
    </tableColumn>
    <tableColumn id="59" xr3:uid="{3D887628-12AC-EF46-9102-B91911328A94}" name="Sep-29" totalsRowFunction="custom" dataDxfId="3">
      <totalsRowFormula>SUMIF(Table143911[Type], "Income",Table143911[Sep-29])-SUMIF(Table143911[Type], "Expense",Table143911[Sep-29])</totalsRowFormula>
    </tableColumn>
    <tableColumn id="60" xr3:uid="{E8274374-8612-1F42-9DEF-0D4C35D8EE4F}" name="Oct-29" totalsRowFunction="custom" dataDxfId="2">
      <totalsRowFormula>SUMIF(Table143911[Type], "Income",Table143911[Oct-29])-SUMIF(Table143911[Type], "Expense",Table143911[Oct-29])</totalsRowFormula>
    </tableColumn>
    <tableColumn id="61" xr3:uid="{18AD6F9B-F6EC-1E48-A5B2-4F0A2882B2D6}" name="Nov-29" totalsRowFunction="custom" dataDxfId="1">
      <totalsRowFormula>SUMIF(Table143911[Type], "Income",Table143911[Nov-29])-SUMIF(Table143911[Type], "Expense",Table143911[Nov-29])</totalsRowFormula>
    </tableColumn>
    <tableColumn id="62" xr3:uid="{2D533AF6-6FE8-CE46-A030-EC7D931226C6}" name="Dec-29" totalsRowFunction="custom" dataDxfId="0">
      <totalsRowFormula>SUMIF(Table143911[Type], "Income",Table143911[Dec-29])-SUMIF(Table143911[Type], "Expense",Table143911[Dec-29])</totalsRow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7B94B1-8A51-0A41-90AB-02FD9D8D724F}" name="Table481012" displayName="Table481012" ref="A1:B10" totalsRowShown="0" headerRowDxfId="77" dataDxfId="76">
  <autoFilter ref="A1:B10" xr:uid="{342FFDEE-6792-954B-89FE-780058927A13}"/>
  <tableColumns count="2">
    <tableColumn id="1" xr3:uid="{37CFC4FB-4E76-2F43-8669-6F0F7BDD2581}" name="Item" dataDxfId="75"/>
    <tableColumn id="2" xr3:uid="{D0CB6643-AE18-6940-9313-E57270525693}" name="Value" dataDxfId="7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0035-48CC-744C-9544-9EB820077163}">
  <sheetPr codeName="Sheet1"/>
  <dimension ref="A1:Z18"/>
  <sheetViews>
    <sheetView zoomScale="140" zoomScaleNormal="140" workbookViewId="0">
      <selection activeCell="D29" sqref="D29"/>
    </sheetView>
  </sheetViews>
  <sheetFormatPr baseColWidth="10" defaultRowHeight="16" x14ac:dyDescent="0.2"/>
  <cols>
    <col min="1" max="1" width="23.6640625" bestFit="1" customWidth="1"/>
    <col min="2" max="2" width="15.5" bestFit="1" customWidth="1"/>
    <col min="3" max="3" width="15.5" customWidth="1"/>
    <col min="4" max="4" width="14.83203125" customWidth="1"/>
    <col min="5" max="5" width="10.5" customWidth="1"/>
    <col min="6" max="6" width="10.83203125" customWidth="1"/>
    <col min="10" max="10" width="8.33203125" customWidth="1"/>
  </cols>
  <sheetData>
    <row r="1" spans="1:26" x14ac:dyDescent="0.2">
      <c r="A1" s="1" t="s">
        <v>1</v>
      </c>
      <c r="B1" s="1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</row>
    <row r="2" spans="1:26" s="4" customFormat="1" x14ac:dyDescent="0.2">
      <c r="A2" s="4" t="s">
        <v>2</v>
      </c>
      <c r="B2" s="4" t="s">
        <v>7</v>
      </c>
      <c r="C2" s="4">
        <v>7800</v>
      </c>
      <c r="D2" s="4">
        <v>7800</v>
      </c>
      <c r="E2" s="4">
        <v>7800</v>
      </c>
      <c r="F2" s="4">
        <v>7800</v>
      </c>
      <c r="G2" s="4">
        <v>7800</v>
      </c>
      <c r="H2" s="4">
        <v>7800</v>
      </c>
      <c r="I2" s="4">
        <v>7800</v>
      </c>
      <c r="J2" s="4">
        <v>7800</v>
      </c>
      <c r="K2" s="4">
        <v>7800</v>
      </c>
      <c r="L2" s="4">
        <v>7800</v>
      </c>
      <c r="M2" s="4">
        <v>7800</v>
      </c>
      <c r="N2" s="4">
        <v>7800</v>
      </c>
      <c r="O2" s="4">
        <v>7800</v>
      </c>
      <c r="P2" s="4">
        <v>7800</v>
      </c>
      <c r="Q2" s="4">
        <v>7800</v>
      </c>
      <c r="R2" s="4">
        <v>7800</v>
      </c>
      <c r="S2" s="4">
        <v>7800</v>
      </c>
      <c r="T2" s="4">
        <v>7800</v>
      </c>
      <c r="U2" s="4">
        <v>7800</v>
      </c>
      <c r="V2" s="4">
        <v>7800</v>
      </c>
      <c r="W2" s="4">
        <v>7800</v>
      </c>
      <c r="X2" s="4">
        <v>7800</v>
      </c>
      <c r="Y2" s="4">
        <v>7800</v>
      </c>
      <c r="Z2" s="4">
        <v>7800</v>
      </c>
    </row>
    <row r="3" spans="1:26" s="4" customFormat="1" x14ac:dyDescent="0.2">
      <c r="A3" s="4" t="s">
        <v>2</v>
      </c>
      <c r="B3" s="4" t="s">
        <v>6</v>
      </c>
      <c r="C3" s="4">
        <v>1000</v>
      </c>
      <c r="D3" s="4">
        <v>1000</v>
      </c>
      <c r="E3" s="4">
        <v>1000</v>
      </c>
      <c r="F3" s="4">
        <v>1000</v>
      </c>
      <c r="G3" s="4">
        <v>1000</v>
      </c>
      <c r="H3" s="4">
        <v>1000</v>
      </c>
      <c r="I3" s="4">
        <v>1000</v>
      </c>
      <c r="J3" s="4">
        <v>1000</v>
      </c>
      <c r="K3" s="4">
        <v>1000</v>
      </c>
      <c r="L3" s="4">
        <v>1000</v>
      </c>
      <c r="M3" s="4">
        <v>1000</v>
      </c>
      <c r="N3" s="4">
        <v>1000</v>
      </c>
      <c r="O3" s="4">
        <v>1000</v>
      </c>
      <c r="P3" s="4">
        <v>1000</v>
      </c>
      <c r="Q3" s="4">
        <v>1000</v>
      </c>
      <c r="R3" s="4">
        <v>1000</v>
      </c>
      <c r="S3" s="4">
        <v>1000</v>
      </c>
      <c r="T3" s="4">
        <v>1000</v>
      </c>
      <c r="U3" s="4">
        <v>1000</v>
      </c>
      <c r="V3" s="4">
        <v>1000</v>
      </c>
      <c r="W3" s="4">
        <v>1000</v>
      </c>
      <c r="X3" s="4">
        <v>1000</v>
      </c>
      <c r="Y3" s="4">
        <v>1000</v>
      </c>
      <c r="Z3" s="4">
        <v>1000</v>
      </c>
    </row>
    <row r="4" spans="1:26" s="4" customFormat="1" x14ac:dyDescent="0.2">
      <c r="A4" s="4" t="s">
        <v>2</v>
      </c>
      <c r="B4" s="4" t="s">
        <v>18</v>
      </c>
    </row>
    <row r="5" spans="1:26" s="4" customFormat="1" x14ac:dyDescent="0.2">
      <c r="A5" s="4" t="s">
        <v>2</v>
      </c>
      <c r="B5" s="4" t="s">
        <v>63</v>
      </c>
      <c r="C5" s="4">
        <v>300</v>
      </c>
      <c r="D5" s="4">
        <v>300</v>
      </c>
      <c r="E5" s="4">
        <v>300</v>
      </c>
      <c r="F5" s="4">
        <v>300</v>
      </c>
      <c r="G5" s="4">
        <v>300</v>
      </c>
      <c r="H5" s="4">
        <v>300</v>
      </c>
      <c r="I5" s="4">
        <v>300</v>
      </c>
      <c r="J5" s="4">
        <v>300</v>
      </c>
      <c r="K5" s="4">
        <v>300</v>
      </c>
      <c r="L5" s="4">
        <v>300</v>
      </c>
      <c r="M5" s="4">
        <v>300</v>
      </c>
      <c r="N5" s="4">
        <v>300</v>
      </c>
      <c r="O5" s="4">
        <v>300</v>
      </c>
      <c r="P5" s="4">
        <v>300</v>
      </c>
      <c r="Q5" s="4">
        <v>300</v>
      </c>
      <c r="R5" s="4">
        <v>300</v>
      </c>
      <c r="S5" s="4">
        <v>300</v>
      </c>
      <c r="T5" s="4">
        <v>300</v>
      </c>
      <c r="U5" s="4">
        <v>300</v>
      </c>
      <c r="V5" s="4">
        <v>300</v>
      </c>
      <c r="W5" s="4">
        <v>300</v>
      </c>
      <c r="X5" s="4">
        <v>300</v>
      </c>
      <c r="Y5" s="4">
        <v>300</v>
      </c>
      <c r="Z5" s="4">
        <v>300</v>
      </c>
    </row>
    <row r="6" spans="1:26" s="4" customFormat="1" x14ac:dyDescent="0.2">
      <c r="A6" s="4" t="s">
        <v>2</v>
      </c>
      <c r="B6" s="4" t="s">
        <v>19</v>
      </c>
      <c r="D6" s="4">
        <f>Table1[[#Totals],[Jan-25]]</f>
        <v>120</v>
      </c>
      <c r="E6" s="4">
        <f>Table1[[#Totals],[Feb-25]]</f>
        <v>240</v>
      </c>
      <c r="F6" s="4">
        <f>Table1[[#Totals],[Mar-25]]</f>
        <v>360</v>
      </c>
      <c r="G6" s="4">
        <f>Table1[[#Totals],[Apr-25]]</f>
        <v>480</v>
      </c>
      <c r="H6" s="4">
        <f>Table1[[#Totals],[May-25]]</f>
        <v>600</v>
      </c>
      <c r="I6" s="4">
        <f>Table1[[#Totals],[Jun-25]]</f>
        <v>720</v>
      </c>
      <c r="J6" s="4">
        <f>Table1[[#Totals],[Jul-25]]</f>
        <v>840</v>
      </c>
      <c r="K6" s="4">
        <f>Table1[[#Totals],[Aug-25]]</f>
        <v>960</v>
      </c>
      <c r="L6" s="4">
        <f>Table1[[#Totals],[Sep-25]]</f>
        <v>1080</v>
      </c>
      <c r="M6" s="4">
        <f>Table1[[#Totals],[Oct-25]]</f>
        <v>1200</v>
      </c>
      <c r="N6" s="4">
        <f>Table1[[#Totals],[Nov-25]]</f>
        <v>1320</v>
      </c>
      <c r="O6" s="4">
        <f>Table1[[#Totals],[Dec-25]]</f>
        <v>1440</v>
      </c>
      <c r="P6" s="4">
        <f>Table1[[#Totals],[Jan-26]]</f>
        <v>1560</v>
      </c>
      <c r="Q6" s="4">
        <f>Table1[[#Totals],[Feb-26]]</f>
        <v>1680</v>
      </c>
      <c r="R6" s="4">
        <f>Table1[[#Totals],[Mar-26]]</f>
        <v>1800</v>
      </c>
      <c r="S6" s="4">
        <f>Table1[[#Totals],[Apr-26]]</f>
        <v>1920</v>
      </c>
      <c r="T6" s="4">
        <f>Table1[[#Totals],[May-26]]</f>
        <v>2040</v>
      </c>
      <c r="U6" s="4">
        <f>Table1[[#Totals],[Jun-26]]</f>
        <v>2160</v>
      </c>
      <c r="V6" s="4">
        <f>Table1[[#Totals],[Jul-26]]</f>
        <v>2280</v>
      </c>
      <c r="W6" s="4">
        <f>Table1[[#Totals],[Aug-26]]</f>
        <v>2400</v>
      </c>
      <c r="X6" s="4">
        <f>Table1[[#Totals],[Sep-26]]</f>
        <v>2520</v>
      </c>
      <c r="Y6" s="4">
        <f>Table1[[#Totals],[Oct-26]]</f>
        <v>2640</v>
      </c>
      <c r="Z6" s="4">
        <f>Table1[[#Totals],[Nov-26]]</f>
        <v>2760</v>
      </c>
    </row>
    <row r="7" spans="1:26" s="5" customFormat="1" x14ac:dyDescent="0.2">
      <c r="A7" s="5" t="s">
        <v>0</v>
      </c>
      <c r="B7" s="5" t="s">
        <v>8</v>
      </c>
      <c r="C7" s="5">
        <v>1000</v>
      </c>
      <c r="D7" s="5">
        <v>1000</v>
      </c>
      <c r="E7" s="5">
        <v>1000</v>
      </c>
      <c r="F7" s="5">
        <v>1000</v>
      </c>
      <c r="G7" s="5">
        <v>1000</v>
      </c>
      <c r="H7" s="5">
        <v>1000</v>
      </c>
      <c r="I7" s="5">
        <v>1000</v>
      </c>
      <c r="J7" s="5">
        <v>1000</v>
      </c>
      <c r="K7" s="5">
        <v>1000</v>
      </c>
      <c r="L7" s="5">
        <v>1000</v>
      </c>
      <c r="M7" s="5">
        <v>1000</v>
      </c>
      <c r="N7" s="5">
        <v>1000</v>
      </c>
      <c r="O7" s="5">
        <v>1000</v>
      </c>
      <c r="P7" s="5">
        <v>1000</v>
      </c>
      <c r="Q7" s="5">
        <v>1000</v>
      </c>
      <c r="R7" s="5">
        <v>1000</v>
      </c>
      <c r="S7" s="5">
        <v>1000</v>
      </c>
      <c r="T7" s="5">
        <v>1000</v>
      </c>
      <c r="U7" s="5">
        <v>1000</v>
      </c>
      <c r="V7" s="5">
        <v>1000</v>
      </c>
      <c r="W7" s="5">
        <v>1000</v>
      </c>
      <c r="X7" s="5">
        <v>1000</v>
      </c>
      <c r="Y7" s="5">
        <v>1000</v>
      </c>
      <c r="Z7" s="5">
        <v>1000</v>
      </c>
    </row>
    <row r="8" spans="1:26" s="5" customFormat="1" x14ac:dyDescent="0.2">
      <c r="A8" s="5" t="s">
        <v>0</v>
      </c>
      <c r="B8" s="5" t="s">
        <v>9</v>
      </c>
      <c r="C8" s="5">
        <v>600</v>
      </c>
      <c r="D8" s="5">
        <v>600</v>
      </c>
      <c r="E8" s="5">
        <v>600</v>
      </c>
      <c r="F8" s="5">
        <v>600</v>
      </c>
      <c r="G8" s="5">
        <v>600</v>
      </c>
      <c r="H8" s="5">
        <v>600</v>
      </c>
      <c r="I8" s="5">
        <v>600</v>
      </c>
      <c r="J8" s="5">
        <v>600</v>
      </c>
      <c r="K8" s="5">
        <v>600</v>
      </c>
      <c r="L8" s="5">
        <v>600</v>
      </c>
      <c r="M8" s="5">
        <v>600</v>
      </c>
      <c r="N8" s="5">
        <v>600</v>
      </c>
      <c r="O8" s="5">
        <v>600</v>
      </c>
      <c r="P8" s="5">
        <v>600</v>
      </c>
      <c r="Q8" s="5">
        <v>600</v>
      </c>
      <c r="R8" s="5">
        <v>600</v>
      </c>
      <c r="S8" s="5">
        <v>600</v>
      </c>
      <c r="T8" s="5">
        <v>600</v>
      </c>
      <c r="U8" s="5">
        <v>600</v>
      </c>
      <c r="V8" s="5">
        <v>600</v>
      </c>
      <c r="W8" s="5">
        <v>600</v>
      </c>
      <c r="X8" s="5">
        <v>600</v>
      </c>
      <c r="Y8" s="5">
        <v>600</v>
      </c>
      <c r="Z8" s="5">
        <v>600</v>
      </c>
    </row>
    <row r="9" spans="1:26" s="5" customFormat="1" x14ac:dyDescent="0.2">
      <c r="A9" s="5" t="s">
        <v>0</v>
      </c>
      <c r="B9" s="5" t="s">
        <v>10</v>
      </c>
      <c r="C9" s="5">
        <v>80</v>
      </c>
      <c r="D9" s="5">
        <v>80</v>
      </c>
      <c r="E9" s="5">
        <v>80</v>
      </c>
      <c r="F9" s="5">
        <v>80</v>
      </c>
      <c r="G9" s="5">
        <v>80</v>
      </c>
      <c r="H9" s="5">
        <v>80</v>
      </c>
      <c r="I9" s="5">
        <v>80</v>
      </c>
      <c r="J9" s="5">
        <v>80</v>
      </c>
      <c r="K9" s="5">
        <v>80</v>
      </c>
      <c r="L9" s="5">
        <v>80</v>
      </c>
      <c r="M9" s="5">
        <v>80</v>
      </c>
      <c r="N9" s="5">
        <v>80</v>
      </c>
      <c r="O9" s="5">
        <v>80</v>
      </c>
      <c r="P9" s="5">
        <v>80</v>
      </c>
      <c r="Q9" s="5">
        <v>80</v>
      </c>
      <c r="R9" s="5">
        <v>80</v>
      </c>
      <c r="S9" s="5">
        <v>80</v>
      </c>
      <c r="T9" s="5">
        <v>80</v>
      </c>
      <c r="U9" s="5">
        <v>80</v>
      </c>
      <c r="V9" s="5">
        <v>80</v>
      </c>
      <c r="W9" s="5">
        <v>80</v>
      </c>
      <c r="X9" s="5">
        <v>80</v>
      </c>
      <c r="Y9" s="5">
        <v>80</v>
      </c>
      <c r="Z9" s="5">
        <v>80</v>
      </c>
    </row>
    <row r="10" spans="1:26" s="5" customFormat="1" x14ac:dyDescent="0.2">
      <c r="A10" s="5" t="s">
        <v>0</v>
      </c>
      <c r="B10" s="5" t="s">
        <v>11</v>
      </c>
      <c r="C10" s="5">
        <v>500</v>
      </c>
      <c r="D10" s="5">
        <v>500</v>
      </c>
      <c r="E10" s="5">
        <v>500</v>
      </c>
      <c r="F10" s="5">
        <v>500</v>
      </c>
      <c r="G10" s="5">
        <v>500</v>
      </c>
      <c r="H10" s="5">
        <v>500</v>
      </c>
      <c r="I10" s="5">
        <v>500</v>
      </c>
      <c r="J10" s="5">
        <v>500</v>
      </c>
      <c r="K10" s="5">
        <v>500</v>
      </c>
      <c r="L10" s="5">
        <v>500</v>
      </c>
      <c r="M10" s="5">
        <v>500</v>
      </c>
      <c r="N10" s="5">
        <v>500</v>
      </c>
      <c r="O10" s="5">
        <v>500</v>
      </c>
      <c r="P10" s="5">
        <v>500</v>
      </c>
      <c r="Q10" s="5">
        <v>500</v>
      </c>
      <c r="R10" s="5">
        <v>500</v>
      </c>
      <c r="S10" s="5">
        <v>500</v>
      </c>
      <c r="T10" s="5">
        <v>500</v>
      </c>
      <c r="U10" s="5">
        <v>500</v>
      </c>
      <c r="V10" s="5">
        <v>500</v>
      </c>
      <c r="W10" s="5">
        <v>500</v>
      </c>
      <c r="X10" s="5">
        <v>500</v>
      </c>
      <c r="Y10" s="5">
        <v>500</v>
      </c>
      <c r="Z10" s="5">
        <v>500</v>
      </c>
    </row>
    <row r="11" spans="1:26" s="5" customFormat="1" x14ac:dyDescent="0.2">
      <c r="A11" s="5" t="s">
        <v>0</v>
      </c>
      <c r="B11" s="5" t="s">
        <v>12</v>
      </c>
      <c r="C11" s="5">
        <v>250</v>
      </c>
      <c r="D11" s="5">
        <v>250</v>
      </c>
      <c r="E11" s="5">
        <v>250</v>
      </c>
      <c r="F11" s="5">
        <v>250</v>
      </c>
      <c r="G11" s="5">
        <v>250</v>
      </c>
      <c r="H11" s="5">
        <v>250</v>
      </c>
      <c r="I11" s="5">
        <v>250</v>
      </c>
      <c r="J11" s="5">
        <v>250</v>
      </c>
      <c r="K11" s="5">
        <v>250</v>
      </c>
      <c r="L11" s="5">
        <v>250</v>
      </c>
      <c r="M11" s="5">
        <v>250</v>
      </c>
      <c r="N11" s="5">
        <v>250</v>
      </c>
      <c r="O11" s="5">
        <v>250</v>
      </c>
      <c r="P11" s="5">
        <v>250</v>
      </c>
      <c r="Q11" s="5">
        <v>250</v>
      </c>
      <c r="R11" s="5">
        <v>250</v>
      </c>
      <c r="S11" s="5">
        <v>250</v>
      </c>
      <c r="T11" s="5">
        <v>250</v>
      </c>
      <c r="U11" s="5">
        <v>250</v>
      </c>
      <c r="V11" s="5">
        <v>250</v>
      </c>
      <c r="W11" s="5">
        <v>250</v>
      </c>
      <c r="X11" s="5">
        <v>250</v>
      </c>
      <c r="Y11" s="5">
        <v>250</v>
      </c>
      <c r="Z11" s="5">
        <v>250</v>
      </c>
    </row>
    <row r="12" spans="1:26" s="5" customFormat="1" x14ac:dyDescent="0.2">
      <c r="A12" s="5" t="s">
        <v>0</v>
      </c>
      <c r="B12" s="5" t="s">
        <v>13</v>
      </c>
      <c r="C12" s="5">
        <v>500</v>
      </c>
      <c r="D12" s="5">
        <v>500</v>
      </c>
      <c r="E12" s="5">
        <v>500</v>
      </c>
      <c r="F12" s="5">
        <v>500</v>
      </c>
      <c r="G12" s="5">
        <v>500</v>
      </c>
      <c r="H12" s="5">
        <v>500</v>
      </c>
      <c r="I12" s="5">
        <v>500</v>
      </c>
      <c r="J12" s="5">
        <v>500</v>
      </c>
      <c r="K12" s="5">
        <v>500</v>
      </c>
      <c r="L12" s="5">
        <v>500</v>
      </c>
      <c r="M12" s="5">
        <v>500</v>
      </c>
      <c r="N12" s="5">
        <v>500</v>
      </c>
      <c r="O12" s="5">
        <v>500</v>
      </c>
      <c r="P12" s="5">
        <v>500</v>
      </c>
      <c r="Q12" s="5">
        <v>500</v>
      </c>
      <c r="R12" s="5">
        <v>500</v>
      </c>
      <c r="S12" s="5">
        <v>500</v>
      </c>
      <c r="T12" s="5">
        <v>500</v>
      </c>
      <c r="U12" s="5">
        <v>500</v>
      </c>
      <c r="V12" s="5">
        <v>500</v>
      </c>
      <c r="W12" s="5">
        <v>500</v>
      </c>
      <c r="X12" s="5">
        <v>500</v>
      </c>
      <c r="Y12" s="5">
        <v>500</v>
      </c>
      <c r="Z12" s="5">
        <v>500</v>
      </c>
    </row>
    <row r="13" spans="1:26" s="5" customFormat="1" x14ac:dyDescent="0.2">
      <c r="A13" s="5" t="s">
        <v>0</v>
      </c>
      <c r="B13" s="5" t="s">
        <v>14</v>
      </c>
      <c r="C13" s="5">
        <v>800</v>
      </c>
      <c r="D13" s="5">
        <v>800</v>
      </c>
      <c r="E13" s="5">
        <v>800</v>
      </c>
      <c r="F13" s="5">
        <v>800</v>
      </c>
      <c r="G13" s="5">
        <v>800</v>
      </c>
      <c r="H13" s="5">
        <v>800</v>
      </c>
      <c r="I13" s="5">
        <v>800</v>
      </c>
      <c r="J13" s="5">
        <v>800</v>
      </c>
      <c r="K13" s="5">
        <v>800</v>
      </c>
      <c r="L13" s="5">
        <v>800</v>
      </c>
      <c r="M13" s="5">
        <v>800</v>
      </c>
      <c r="N13" s="5">
        <v>800</v>
      </c>
      <c r="O13" s="5">
        <v>800</v>
      </c>
      <c r="P13" s="5">
        <v>800</v>
      </c>
      <c r="Q13" s="5">
        <v>800</v>
      </c>
      <c r="R13" s="5">
        <v>800</v>
      </c>
      <c r="S13" s="5">
        <v>800</v>
      </c>
      <c r="T13" s="5">
        <v>800</v>
      </c>
      <c r="U13" s="5">
        <v>800</v>
      </c>
      <c r="V13" s="5">
        <v>800</v>
      </c>
      <c r="W13" s="5">
        <v>800</v>
      </c>
      <c r="X13" s="5">
        <v>800</v>
      </c>
      <c r="Y13" s="5">
        <v>800</v>
      </c>
      <c r="Z13" s="5">
        <v>800</v>
      </c>
    </row>
    <row r="14" spans="1:26" s="5" customFormat="1" x14ac:dyDescent="0.2">
      <c r="A14" s="5" t="s">
        <v>0</v>
      </c>
      <c r="B14" s="5" t="s">
        <v>15</v>
      </c>
      <c r="C14" s="5">
        <v>500</v>
      </c>
      <c r="D14" s="5">
        <v>500</v>
      </c>
      <c r="E14" s="5">
        <v>500</v>
      </c>
      <c r="F14" s="5">
        <v>500</v>
      </c>
      <c r="G14" s="5">
        <v>500</v>
      </c>
      <c r="H14" s="5">
        <v>500</v>
      </c>
      <c r="I14" s="5">
        <v>500</v>
      </c>
      <c r="J14" s="5">
        <v>500</v>
      </c>
      <c r="K14" s="5">
        <v>500</v>
      </c>
      <c r="L14" s="5">
        <v>500</v>
      </c>
      <c r="M14" s="5">
        <v>500</v>
      </c>
      <c r="N14" s="5">
        <v>500</v>
      </c>
      <c r="O14" s="5">
        <v>500</v>
      </c>
      <c r="P14" s="5">
        <v>500</v>
      </c>
      <c r="Q14" s="5">
        <v>500</v>
      </c>
      <c r="R14" s="5">
        <v>500</v>
      </c>
      <c r="S14" s="5">
        <v>500</v>
      </c>
      <c r="T14" s="5">
        <v>500</v>
      </c>
      <c r="U14" s="5">
        <v>500</v>
      </c>
      <c r="V14" s="5">
        <v>500</v>
      </c>
      <c r="W14" s="5">
        <v>500</v>
      </c>
      <c r="X14" s="5">
        <v>500</v>
      </c>
      <c r="Y14" s="5">
        <v>500</v>
      </c>
      <c r="Z14" s="5">
        <v>500</v>
      </c>
    </row>
    <row r="15" spans="1:26" s="5" customFormat="1" x14ac:dyDescent="0.2">
      <c r="A15" s="5" t="s">
        <v>0</v>
      </c>
      <c r="B15" s="5" t="s">
        <v>16</v>
      </c>
      <c r="C15" s="5">
        <v>250</v>
      </c>
      <c r="D15" s="5">
        <v>250</v>
      </c>
      <c r="E15" s="5">
        <v>250</v>
      </c>
      <c r="F15" s="5">
        <v>250</v>
      </c>
      <c r="G15" s="5">
        <v>250</v>
      </c>
      <c r="H15" s="5">
        <v>250</v>
      </c>
      <c r="I15" s="5">
        <v>250</v>
      </c>
      <c r="J15" s="5">
        <v>250</v>
      </c>
      <c r="K15" s="5">
        <v>250</v>
      </c>
      <c r="L15" s="5">
        <v>250</v>
      </c>
      <c r="M15" s="5">
        <v>250</v>
      </c>
      <c r="N15" s="5">
        <v>250</v>
      </c>
      <c r="O15" s="5">
        <v>250</v>
      </c>
      <c r="P15" s="5">
        <v>250</v>
      </c>
      <c r="Q15" s="5">
        <v>250</v>
      </c>
      <c r="R15" s="5">
        <v>250</v>
      </c>
      <c r="S15" s="5">
        <v>250</v>
      </c>
      <c r="T15" s="5">
        <v>250</v>
      </c>
      <c r="U15" s="5">
        <v>250</v>
      </c>
      <c r="V15" s="5">
        <v>250</v>
      </c>
      <c r="W15" s="5">
        <v>250</v>
      </c>
      <c r="X15" s="5">
        <v>250</v>
      </c>
      <c r="Y15" s="5">
        <v>250</v>
      </c>
      <c r="Z15" s="5">
        <v>250</v>
      </c>
    </row>
    <row r="16" spans="1:26" s="5" customFormat="1" x14ac:dyDescent="0.2">
      <c r="A16" s="5" t="s">
        <v>0</v>
      </c>
      <c r="B16" s="5" t="s">
        <v>45</v>
      </c>
      <c r="C16" s="5">
        <v>4500</v>
      </c>
      <c r="D16" s="5">
        <v>4500</v>
      </c>
      <c r="E16" s="5">
        <v>4500</v>
      </c>
      <c r="F16" s="5">
        <v>4500</v>
      </c>
      <c r="G16" s="5">
        <v>4500</v>
      </c>
      <c r="H16" s="5">
        <v>4500</v>
      </c>
      <c r="I16" s="5">
        <v>4500</v>
      </c>
      <c r="J16" s="5">
        <v>4500</v>
      </c>
      <c r="K16" s="5">
        <v>4500</v>
      </c>
      <c r="L16" s="5">
        <v>4500</v>
      </c>
      <c r="M16" s="5">
        <v>4500</v>
      </c>
      <c r="N16" s="5">
        <v>4500</v>
      </c>
      <c r="O16" s="5">
        <v>4500</v>
      </c>
      <c r="P16" s="5">
        <v>4500</v>
      </c>
      <c r="Q16" s="5">
        <v>4500</v>
      </c>
      <c r="R16" s="5">
        <v>4500</v>
      </c>
      <c r="S16" s="5">
        <v>4500</v>
      </c>
      <c r="T16" s="5">
        <v>4500</v>
      </c>
      <c r="U16" s="5">
        <v>4500</v>
      </c>
      <c r="V16" s="5">
        <v>4500</v>
      </c>
      <c r="W16" s="5">
        <v>4500</v>
      </c>
      <c r="X16" s="5">
        <v>4500</v>
      </c>
      <c r="Y16" s="5">
        <v>4500</v>
      </c>
      <c r="Z16" s="5">
        <v>4500</v>
      </c>
    </row>
    <row r="17" spans="1:26" s="5" customFormat="1" x14ac:dyDescent="0.2">
      <c r="A17" s="5" t="s">
        <v>0</v>
      </c>
      <c r="B17" s="5" t="s">
        <v>17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</row>
    <row r="18" spans="1:26" x14ac:dyDescent="0.2">
      <c r="A18" t="s">
        <v>44</v>
      </c>
      <c r="C18">
        <f>SUMIF(Table1[Type],"Income",Table1[Jan-25])-SUMIF(Table1[Type],"Expense",Table1[Jan-25])</f>
        <v>120</v>
      </c>
      <c r="D18">
        <f>SUMIF(Table1[Type],"Income",Table1[Feb-25])-SUMIF(Table1[Type],"Expense",Table1[Feb-25])</f>
        <v>240</v>
      </c>
      <c r="E18">
        <f>SUMIF(Table1[Type],"Income",Table1[Mar-25])-SUMIF(Table1[Type],"Expense",Table1[Mar-25])</f>
        <v>360</v>
      </c>
      <c r="F18">
        <f>SUMIF(Table1[Type],"Income",Table1[Apr-25])-SUMIF(Table1[Type],"Expense",Table1[Apr-25])</f>
        <v>480</v>
      </c>
      <c r="G18">
        <f>SUMIF(Table1[Type],"Income",Table1[May-25])-SUMIF(Table1[Type],"Expense",Table1[May-25])</f>
        <v>600</v>
      </c>
      <c r="H18">
        <f>SUMIF(Table1[Type],"Income",Table1[Jun-25])-SUMIF(Table1[Type],"Expense",Table1[Jun-25])</f>
        <v>720</v>
      </c>
      <c r="I18">
        <f>SUMIF(Table1[Type],"Income",Table1[Jul-25])-SUMIF(Table1[Type],"Expense",Table1[Jul-25])</f>
        <v>840</v>
      </c>
      <c r="J18">
        <f>SUMIF(Table1[Type],"Income",Table1[Aug-25])-SUMIF(Table1[Type],"Expense",Table1[Aug-25])</f>
        <v>960</v>
      </c>
      <c r="K18">
        <f>SUMIF(Table1[Type],"Income",Table1[Sep-25])-SUMIF(Table1[Type],"Expense",Table1[Sep-25])</f>
        <v>1080</v>
      </c>
      <c r="L18">
        <f>SUMIF(Table1[Type],"Income",Table1[Oct-25])-SUMIF(Table1[Type],"Expense",Table1[Oct-25])</f>
        <v>1200</v>
      </c>
      <c r="M18">
        <f>SUMIF(Table1[Type],"Income",Table1[Nov-25])-SUMIF(Table1[Type],"Expense",Table1[Nov-25])</f>
        <v>1320</v>
      </c>
      <c r="N18">
        <f>SUMIF(Table1[Type],"Income",Table1[Dec-25])-SUMIF(Table1[Type],"Expense",Table1[Dec-25])</f>
        <v>1440</v>
      </c>
      <c r="O18">
        <f>SUMIF(Table1[Type],"Income",Table1[Jan-26])-SUMIF(Table1[Type],"Expense",Table1[Jan-26])</f>
        <v>1560</v>
      </c>
      <c r="P18">
        <f>SUMIF(Table1[Type],"Income",Table1[Feb-26])-SUMIF(Table1[Type],"Expense",Table1[Feb-26])</f>
        <v>1680</v>
      </c>
      <c r="Q18">
        <f>SUMIF(Table1[Type],"Income",Table1[Mar-26])-SUMIF(Table1[Type],"Expense",Table1[Mar-26])</f>
        <v>1800</v>
      </c>
      <c r="R18">
        <f>SUMIF(Table1[Type],"Income",Table1[Apr-26])-SUMIF(Table1[Type],"Expense",Table1[Apr-26])</f>
        <v>1920</v>
      </c>
      <c r="S18">
        <f>SUMIF(Table1[Type],"Income",Table1[May-26])-SUMIF(Table1[Type],"Expense",Table1[May-26])</f>
        <v>2040</v>
      </c>
      <c r="T18">
        <f>SUMIF(Table1[Type],"Income",Table1[Jun-26])-SUMIF(Table1[Type],"Expense",Table1[Jun-26])</f>
        <v>2160</v>
      </c>
      <c r="U18">
        <f>SUMIF(Table1[Type],"Income",Table1[Jul-26])-SUMIF(Table1[Type],"Expense",Table1[Jul-26])</f>
        <v>2280</v>
      </c>
      <c r="V18">
        <f>SUMIF(Table1[Type],"Income",Table1[Aug-26])-SUMIF(Table1[Type],"Expense",Table1[Aug-26])</f>
        <v>2400</v>
      </c>
      <c r="W18">
        <f>SUMIF(Table1[Type],"Income",Table1[Sep-26])-SUMIF(Table1[Type],"Expense",Table1[Sep-26])</f>
        <v>2520</v>
      </c>
      <c r="X18">
        <f>SUMIF(Table1[Type],"Income",Table1[Oct-26])-SUMIF(Table1[Type],"Expense",Table1[Oct-26])</f>
        <v>2640</v>
      </c>
      <c r="Y18">
        <f>SUMIF(Table1[Type],"Income",Table1[Nov-26])-SUMIF(Table1[Type],"Expense",Table1[Nov-26])</f>
        <v>2760</v>
      </c>
      <c r="Z18">
        <f>SUMIF(Table1[Type],"Income",Table1[Dec-26])-SUMIF(Table1[Type],"Expense",Table1[Dec-26])</f>
        <v>2880</v>
      </c>
    </row>
  </sheetData>
  <phoneticPr fontId="1" type="noConversion"/>
  <conditionalFormatting sqref="A18:XFD18">
    <cfRule type="cellIs" dxfId="73" priority="1" operator="lessThan">
      <formula>0</formula>
    </cfRule>
    <cfRule type="cellIs" dxfId="7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5E3E-6E4C-F848-864D-ED087C547023}">
  <sheetPr codeName="Sheet2"/>
  <dimension ref="A1:Z26"/>
  <sheetViews>
    <sheetView zoomScale="180" zoomScaleNormal="180" workbookViewId="0">
      <selection activeCell="K19" sqref="K19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bestFit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57</v>
      </c>
      <c r="B5">
        <v>7000</v>
      </c>
    </row>
    <row r="6" spans="1:26" x14ac:dyDescent="0.2">
      <c r="A6" t="s">
        <v>58</v>
      </c>
      <c r="B6">
        <f>(B4-B5)*0.2</f>
        <v>4600</v>
      </c>
    </row>
    <row r="7" spans="1:26" x14ac:dyDescent="0.2">
      <c r="A7" t="s">
        <v>59</v>
      </c>
      <c r="B7">
        <f>B4-B5-B6</f>
        <v>18400</v>
      </c>
    </row>
    <row r="8" spans="1:26" x14ac:dyDescent="0.2">
      <c r="A8" t="s">
        <v>60</v>
      </c>
      <c r="B8">
        <f>B7/4</f>
        <v>4600</v>
      </c>
    </row>
    <row r="9" spans="1:26" x14ac:dyDescent="0.2">
      <c r="A9" t="s">
        <v>61</v>
      </c>
      <c r="B9">
        <v>4000</v>
      </c>
    </row>
    <row r="10" spans="1:26" x14ac:dyDescent="0.2">
      <c r="A10" t="s">
        <v>62</v>
      </c>
      <c r="B10">
        <v>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x14ac:dyDescent="0.2">
      <c r="A13" s="4" t="s">
        <v>2</v>
      </c>
      <c r="B13" s="4" t="s">
        <v>4</v>
      </c>
      <c r="C13" s="6"/>
      <c r="D13" s="6">
        <v>4000</v>
      </c>
      <c r="E13" s="4">
        <f t="shared" ref="E13:Z13" si="0">$B$9</f>
        <v>4000</v>
      </c>
      <c r="F13" s="4">
        <f t="shared" si="0"/>
        <v>4000</v>
      </c>
      <c r="G13" s="4">
        <f t="shared" si="0"/>
        <v>4000</v>
      </c>
      <c r="H13" s="4">
        <f t="shared" si="0"/>
        <v>4000</v>
      </c>
      <c r="I13" s="4">
        <f t="shared" si="0"/>
        <v>4000</v>
      </c>
      <c r="J13" s="4">
        <f t="shared" si="0"/>
        <v>4000</v>
      </c>
      <c r="K13" s="4">
        <f t="shared" si="0"/>
        <v>4000</v>
      </c>
      <c r="L13" s="4">
        <f t="shared" si="0"/>
        <v>4000</v>
      </c>
      <c r="M13" s="4">
        <f t="shared" si="0"/>
        <v>4000</v>
      </c>
      <c r="N13" s="4">
        <f t="shared" si="0"/>
        <v>4000</v>
      </c>
      <c r="O13" s="4">
        <f t="shared" si="0"/>
        <v>4000</v>
      </c>
      <c r="P13" s="4">
        <f t="shared" si="0"/>
        <v>4000</v>
      </c>
      <c r="Q13" s="4">
        <f t="shared" si="0"/>
        <v>4000</v>
      </c>
      <c r="R13" s="4">
        <f t="shared" si="0"/>
        <v>4000</v>
      </c>
      <c r="S13" s="4">
        <f t="shared" si="0"/>
        <v>4000</v>
      </c>
      <c r="T13" s="4">
        <f t="shared" si="0"/>
        <v>4000</v>
      </c>
      <c r="U13" s="4">
        <f t="shared" si="0"/>
        <v>4000</v>
      </c>
      <c r="V13" s="4">
        <f t="shared" si="0"/>
        <v>4000</v>
      </c>
      <c r="W13" s="4">
        <f t="shared" si="0"/>
        <v>4000</v>
      </c>
      <c r="X13" s="4">
        <f t="shared" si="0"/>
        <v>4000</v>
      </c>
      <c r="Y13" s="4">
        <f t="shared" si="0"/>
        <v>4000</v>
      </c>
      <c r="Z13" s="4">
        <f t="shared" si="0"/>
        <v>4000</v>
      </c>
    </row>
    <row r="14" spans="1:26" x14ac:dyDescent="0.2">
      <c r="A14" s="4" t="s">
        <v>2</v>
      </c>
      <c r="B14" s="4" t="s">
        <v>5</v>
      </c>
      <c r="C14" s="4"/>
      <c r="D14" s="4">
        <f>$B$10</f>
        <v>0</v>
      </c>
      <c r="E14" s="4">
        <f t="shared" ref="E14:Z14" si="1">$B$10</f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  <c r="Y14" s="4">
        <f t="shared" si="1"/>
        <v>0</v>
      </c>
      <c r="Z14" s="4">
        <f t="shared" si="1"/>
        <v>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5715.42</v>
      </c>
      <c r="F17" s="4">
        <f t="shared" si="2"/>
        <v>9735.66</v>
      </c>
      <c r="G17" s="4">
        <f t="shared" si="2"/>
        <v>13764.28</v>
      </c>
      <c r="H17" s="4">
        <f t="shared" si="2"/>
        <v>17801.29</v>
      </c>
      <c r="I17" s="4">
        <f t="shared" si="2"/>
        <v>21846.71</v>
      </c>
      <c r="J17" s="4">
        <f t="shared" si="2"/>
        <v>9666.81</v>
      </c>
      <c r="K17" s="4">
        <f t="shared" si="2"/>
        <v>9085.7000000000007</v>
      </c>
      <c r="L17" s="4">
        <f t="shared" si="2"/>
        <v>8503.3799999999992</v>
      </c>
      <c r="M17" s="4">
        <f t="shared" si="2"/>
        <v>7919.85</v>
      </c>
      <c r="N17" s="4">
        <f t="shared" si="2"/>
        <v>11944.68</v>
      </c>
      <c r="O17" s="4">
        <f t="shared" si="2"/>
        <v>15977.9</v>
      </c>
      <c r="P17" s="4">
        <f>O24</f>
        <v>3785.77</v>
      </c>
      <c r="Q17" s="4">
        <f t="shared" si="2"/>
        <v>3192.41</v>
      </c>
      <c r="R17" s="4">
        <f t="shared" si="2"/>
        <v>2597.81</v>
      </c>
      <c r="S17" s="4">
        <f t="shared" si="2"/>
        <v>2001.97</v>
      </c>
      <c r="T17" s="4">
        <f t="shared" si="2"/>
        <v>6014.47</v>
      </c>
      <c r="U17" s="4">
        <f t="shared" si="2"/>
        <v>10035.33</v>
      </c>
      <c r="V17" s="4">
        <f t="shared" si="2"/>
        <v>-2169.1799999999998</v>
      </c>
      <c r="W17" s="4">
        <f t="shared" si="2"/>
        <v>-2774.95</v>
      </c>
      <c r="X17" s="4">
        <f t="shared" si="2"/>
        <v>-3381.98</v>
      </c>
      <c r="Y17" s="4">
        <f t="shared" si="2"/>
        <v>-3990.28</v>
      </c>
      <c r="Z17" s="4">
        <f t="shared" si="2"/>
        <v>9.74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11600</v>
      </c>
      <c r="J18" s="5"/>
      <c r="K18" s="5"/>
      <c r="L18" s="5"/>
      <c r="M18" s="5"/>
      <c r="N18" s="5"/>
      <c r="O18" s="5">
        <f>$B$5+$B$6</f>
        <v>11600</v>
      </c>
      <c r="P18" s="5"/>
      <c r="Q18" s="5"/>
      <c r="R18" s="5"/>
      <c r="S18" s="5"/>
      <c r="T18" s="5"/>
      <c r="U18" s="5">
        <f>$B$5+$B$6</f>
        <v>11600</v>
      </c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4600</v>
      </c>
      <c r="J19" s="5">
        <f>$B$8</f>
        <v>4600</v>
      </c>
      <c r="K19" s="5">
        <f>$B$8</f>
        <v>4600</v>
      </c>
      <c r="L19" s="5">
        <f>$B$8</f>
        <v>4600</v>
      </c>
      <c r="M19" s="5"/>
      <c r="N19" s="5"/>
      <c r="O19" s="5">
        <f>$B$8</f>
        <v>4600</v>
      </c>
      <c r="P19" s="5">
        <f>$B$8</f>
        <v>4600</v>
      </c>
      <c r="Q19" s="5">
        <f>$B$8</f>
        <v>4600</v>
      </c>
      <c r="R19" s="5">
        <f>$B$8</f>
        <v>4600</v>
      </c>
      <c r="S19" s="5"/>
      <c r="T19" s="5"/>
      <c r="U19" s="5">
        <f>$B$8</f>
        <v>4600</v>
      </c>
      <c r="V19" s="5">
        <f>$B$8</f>
        <v>4600</v>
      </c>
      <c r="W19" s="5">
        <f>$B$8</f>
        <v>4600</v>
      </c>
      <c r="X19" s="5">
        <f>$B$8</f>
        <v>4600</v>
      </c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t="s">
        <v>44</v>
      </c>
      <c r="C23">
        <f>(SUMIF(Table14[Type],"Income",Table14[Jan-25])-SUMIF(Table14[Type],"Expense",Table14[Jan-25]))</f>
        <v>1700</v>
      </c>
      <c r="D23">
        <f>SUMIF(Table14[Type],"Income",Table14[Feb-25])-SUMIF(Table14[Type],"Expense",Table14[Feb-25])</f>
        <v>5703.54</v>
      </c>
      <c r="E23">
        <f>SUMIF(Table14[Type],"Income",Table14[Mar-25])-SUMIF(Table14[Type],"Expense",Table14[Mar-25])</f>
        <v>9715.42</v>
      </c>
      <c r="F23">
        <f>SUMIF(Table14[Type],"Income",Table14[Apr-25])-SUMIF(Table14[Type],"Expense",Table14[Apr-25])</f>
        <v>13735.66</v>
      </c>
      <c r="G23">
        <f>SUMIF(Table14[Type],"Income",Table14[May-25])-SUMIF(Table14[Type],"Expense",Table14[May-25])</f>
        <v>17764.28</v>
      </c>
      <c r="H23">
        <f>SUMIF(Table14[Type],"Income",Table14[Jun-25])-SUMIF(Table14[Type],"Expense",Table14[Jun-25])</f>
        <v>21801.29</v>
      </c>
      <c r="I23">
        <f>SUMIF(Table14[Type],"Income",Table14[Jul-25])-SUMIF(Table14[Type],"Expense",Table14[Jul-25])</f>
        <v>9646.7099999999991</v>
      </c>
      <c r="J23">
        <f>SUMIF(Table14[Type],"Income",Table14[Aug-25])-SUMIF(Table14[Type],"Expense",Table14[Aug-25])</f>
        <v>9066.81</v>
      </c>
      <c r="K23">
        <f>SUMIF(Table14[Type],"Income",Table14[Sep-25])-SUMIF(Table14[Type],"Expense",Table14[Sep-25])</f>
        <v>8485.7000000000007</v>
      </c>
      <c r="L23">
        <f>SUMIF(Table14[Type],"Income",Table14[Oct-25])-SUMIF(Table14[Type],"Expense",Table14[Oct-25])</f>
        <v>7903.3799999999992</v>
      </c>
      <c r="M23">
        <f>SUMIF(Table14[Type],"Income",Table14[Nov-25])-SUMIF(Table14[Type],"Expense",Table14[Nov-25])</f>
        <v>11919.85</v>
      </c>
      <c r="N23">
        <f>SUMIF(Table14[Type],"Income",Table14[Dec-25])-SUMIF(Table14[Type],"Expense",Table14[Dec-25])</f>
        <v>15944.68</v>
      </c>
      <c r="O23">
        <f>SUMIF(Table14[Type],"Income",Table14[Jan-26])-SUMIF(Table14[Type],"Expense",Table14[Jan-26])</f>
        <v>3777.9000000000015</v>
      </c>
      <c r="P23">
        <f>SUMIF(Table14[Type],"Income",Table14[Feb-26])-SUMIF(Table14[Type],"Expense",Table14[Feb-26])</f>
        <v>3185.7700000000004</v>
      </c>
      <c r="Q23">
        <f>SUMIF(Table14[Type],"Income",Table14[Mar-26])-SUMIF(Table14[Type],"Expense",Table14[Mar-26])</f>
        <v>2592.41</v>
      </c>
      <c r="R23">
        <f>SUMIF(Table14[Type],"Income",Table14[Apr-26])-SUMIF(Table14[Type],"Expense",Table14[Apr-26])</f>
        <v>1997.8099999999995</v>
      </c>
      <c r="S23">
        <f>SUMIF(Table14[Type],"Income",Table14[May-26])-SUMIF(Table14[Type],"Expense",Table14[May-26])</f>
        <v>6001.97</v>
      </c>
      <c r="T23">
        <f>SUMIF(Table14[Type],"Income",Table14[Jun-26])-SUMIF(Table14[Type],"Expense",Table14[Jun-26])</f>
        <v>10014.470000000001</v>
      </c>
      <c r="U23">
        <f>SUMIF(Table14[Type],"Income",Table14[Jul-26])-SUMIF(Table14[Type],"Expense",Table14[Jul-26])</f>
        <v>-2164.67</v>
      </c>
      <c r="V23">
        <f>SUMIF(Table14[Type],"Income",Table14[Aug-26])-SUMIF(Table14[Type],"Expense",Table14[Aug-26])</f>
        <v>-2769.18</v>
      </c>
      <c r="W23">
        <f>SUMIF(Table14[Type],"Income",Table14[Sep-26])-SUMIF(Table14[Type],"Expense",Table14[Sep-26])</f>
        <v>-3374.95</v>
      </c>
      <c r="X23">
        <f>SUMIF(Table14[Type],"Income",Table14[Oct-26])-SUMIF(Table14[Type],"Expense",Table14[Oct-26])</f>
        <v>-3981.98</v>
      </c>
      <c r="Y23">
        <f>SUMIF(Table14[Type],"Income",Table14[Nov-26])-SUMIF(Table14[Type],"Expense",Table14[Nov-26])</f>
        <v>9.7199999999997999</v>
      </c>
      <c r="Z23">
        <f>SUMIF(Table14[Type],"Income",Table14[Dec-26])-SUMIF(Table14[Type],"Expense",Table14[Dec-26])</f>
        <v>4009.74</v>
      </c>
    </row>
    <row r="24" spans="1:26" s="1" customFormat="1" x14ac:dyDescent="0.2">
      <c r="A24" s="1" t="s">
        <v>50</v>
      </c>
      <c r="C24" s="1">
        <f>ROUND(Table14[[#Totals],[Jan-25]]*$B$3,2)</f>
        <v>1703.54</v>
      </c>
      <c r="D24" s="1">
        <f>ROUND(Table14[[#Totals],[Feb-25]]*$B$3,2)</f>
        <v>5715.42</v>
      </c>
      <c r="E24" s="1">
        <f>ROUND(Table14[[#Totals],[Mar-25]]*$B$3,2)</f>
        <v>9735.66</v>
      </c>
      <c r="F24" s="1">
        <f>ROUND(Table14[[#Totals],[Apr-25]]*$B$3,2)</f>
        <v>13764.28</v>
      </c>
      <c r="G24" s="1">
        <f>ROUND(Table14[[#Totals],[May-25]]*$B$3,2)</f>
        <v>17801.29</v>
      </c>
      <c r="H24" s="1">
        <f>ROUND(Table14[[#Totals],[Jun-25]]*$B$3,2)</f>
        <v>21846.71</v>
      </c>
      <c r="I24" s="1">
        <f>ROUND(Table14[[#Totals],[Jul-25]]*$B$3,2)</f>
        <v>9666.81</v>
      </c>
      <c r="J24" s="1">
        <f>ROUND(Table14[[#Totals],[Aug-25]]*$B$3,2)</f>
        <v>9085.7000000000007</v>
      </c>
      <c r="K24" s="1">
        <f>ROUND(Table14[[#Totals],[Sep-25]]*$B$3,2)</f>
        <v>8503.3799999999992</v>
      </c>
      <c r="L24" s="1">
        <f>ROUND(Table14[[#Totals],[Oct-25]]*$B$3,2)</f>
        <v>7919.85</v>
      </c>
      <c r="M24" s="1">
        <f>ROUND(Table14[[#Totals],[Nov-25]]*$B$3,2)</f>
        <v>11944.68</v>
      </c>
      <c r="N24" s="1">
        <f>ROUND(Table14[[#Totals],[Dec-25]]*$B$3,2)</f>
        <v>15977.9</v>
      </c>
      <c r="O24" s="1">
        <f>ROUND(Table14[[#Totals],[Jan-26]]*$B$3,2)</f>
        <v>3785.77</v>
      </c>
      <c r="P24" s="1">
        <f>ROUND(Table14[[#Totals],[Feb-26]]*$B$3,2)</f>
        <v>3192.41</v>
      </c>
      <c r="Q24" s="1">
        <f>ROUND(Table14[[#Totals],[Mar-26]]*$B$3,2)</f>
        <v>2597.81</v>
      </c>
      <c r="R24" s="1">
        <f>ROUND(Table14[[#Totals],[Apr-26]]*$B$3,2)</f>
        <v>2001.97</v>
      </c>
      <c r="S24" s="1">
        <f>ROUND(Table14[[#Totals],[May-26]]*$B$3,2)</f>
        <v>6014.47</v>
      </c>
      <c r="T24" s="1">
        <f>ROUND(Table14[[#Totals],[Jun-26]]*$B$3,2)</f>
        <v>10035.33</v>
      </c>
      <c r="U24" s="1">
        <f>ROUND(Table14[[#Totals],[Jul-26]]*$B$3,2)</f>
        <v>-2169.1799999999998</v>
      </c>
      <c r="V24" s="1">
        <f>ROUND(Table14[[#Totals],[Aug-26]]*$B$3,2)</f>
        <v>-2774.95</v>
      </c>
      <c r="W24" s="1">
        <f>ROUND(Table14[[#Totals],[Sep-26]]*$B$3,2)</f>
        <v>-3381.98</v>
      </c>
      <c r="X24" s="1">
        <f>ROUND(Table14[[#Totals],[Oct-26]]*$B$3,2)</f>
        <v>-3990.28</v>
      </c>
      <c r="Y24" s="1">
        <f>ROUND(Table14[[#Totals],[Nov-26]]*$B$3,2)</f>
        <v>9.74</v>
      </c>
      <c r="Z24" s="1">
        <f>ROUND(Table14[[#Totals],[Dec-26]]*$B$3,2)</f>
        <v>4018.09</v>
      </c>
    </row>
    <row r="26" spans="1:26" x14ac:dyDescent="0.2">
      <c r="E26" t="s">
        <v>64</v>
      </c>
    </row>
  </sheetData>
  <conditionalFormatting sqref="A23:XFD24">
    <cfRule type="cellIs" dxfId="71" priority="1" operator="lessThan">
      <formula>0</formula>
    </cfRule>
    <cfRule type="cellIs" dxfId="7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1B8E-4E77-5144-9044-3C1AA2DAD713}">
  <sheetPr codeName="Sheet3"/>
  <dimension ref="A1:Z24"/>
  <sheetViews>
    <sheetView zoomScale="180" zoomScaleNormal="180" workbookViewId="0">
      <selection activeCell="B9" sqref="B9:B10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bestFit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57</v>
      </c>
      <c r="B5">
        <v>7000</v>
      </c>
    </row>
    <row r="6" spans="1:26" x14ac:dyDescent="0.2">
      <c r="A6" t="s">
        <v>58</v>
      </c>
      <c r="B6">
        <f>(B4-B5)*0.2</f>
        <v>4600</v>
      </c>
    </row>
    <row r="7" spans="1:26" x14ac:dyDescent="0.2">
      <c r="A7" t="s">
        <v>59</v>
      </c>
      <c r="B7">
        <f>B4-B5-B6</f>
        <v>18400</v>
      </c>
    </row>
    <row r="8" spans="1:26" x14ac:dyDescent="0.2">
      <c r="A8" t="s">
        <v>60</v>
      </c>
      <c r="B8">
        <f>B7/4</f>
        <v>4600</v>
      </c>
    </row>
    <row r="9" spans="1:26" x14ac:dyDescent="0.2">
      <c r="A9" t="s">
        <v>61</v>
      </c>
      <c r="B9">
        <v>4200</v>
      </c>
    </row>
    <row r="10" spans="1:26" x14ac:dyDescent="0.2">
      <c r="A10" t="s">
        <v>62</v>
      </c>
      <c r="B10">
        <v>1000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hidden="1" x14ac:dyDescent="0.2">
      <c r="A13" s="4" t="s">
        <v>2</v>
      </c>
      <c r="B13" s="4" t="s">
        <v>4</v>
      </c>
      <c r="C13" s="6"/>
      <c r="D13" s="6"/>
      <c r="E13" s="4">
        <f>$B$9</f>
        <v>4200</v>
      </c>
      <c r="F13" s="4">
        <f t="shared" ref="F13:Z13" si="0">$B$9</f>
        <v>4200</v>
      </c>
      <c r="G13" s="4">
        <f t="shared" si="0"/>
        <v>4200</v>
      </c>
      <c r="H13" s="4">
        <f t="shared" si="0"/>
        <v>4200</v>
      </c>
      <c r="I13" s="4">
        <f t="shared" si="0"/>
        <v>4200</v>
      </c>
      <c r="J13" s="4">
        <f t="shared" si="0"/>
        <v>4200</v>
      </c>
      <c r="K13" s="4">
        <f t="shared" si="0"/>
        <v>4200</v>
      </c>
      <c r="L13" s="4">
        <f t="shared" si="0"/>
        <v>4200</v>
      </c>
      <c r="M13" s="4">
        <f t="shared" si="0"/>
        <v>4200</v>
      </c>
      <c r="N13" s="4">
        <f t="shared" si="0"/>
        <v>4200</v>
      </c>
      <c r="O13" s="4">
        <f t="shared" si="0"/>
        <v>4200</v>
      </c>
      <c r="P13" s="4">
        <f t="shared" si="0"/>
        <v>4200</v>
      </c>
      <c r="Q13" s="4">
        <f t="shared" si="0"/>
        <v>4200</v>
      </c>
      <c r="R13" s="4">
        <f t="shared" si="0"/>
        <v>4200</v>
      </c>
      <c r="S13" s="4">
        <f t="shared" si="0"/>
        <v>4200</v>
      </c>
      <c r="T13" s="4">
        <f t="shared" si="0"/>
        <v>4200</v>
      </c>
      <c r="U13" s="4">
        <f t="shared" si="0"/>
        <v>4200</v>
      </c>
      <c r="V13" s="4">
        <f t="shared" si="0"/>
        <v>4200</v>
      </c>
      <c r="W13" s="4">
        <f t="shared" si="0"/>
        <v>4200</v>
      </c>
      <c r="X13" s="4">
        <f t="shared" si="0"/>
        <v>4200</v>
      </c>
      <c r="Y13" s="4">
        <f t="shared" si="0"/>
        <v>4200</v>
      </c>
      <c r="Z13" s="4">
        <f t="shared" si="0"/>
        <v>4200</v>
      </c>
    </row>
    <row r="14" spans="1:26" hidden="1" x14ac:dyDescent="0.2">
      <c r="A14" s="4" t="s">
        <v>2</v>
      </c>
      <c r="B14" s="4" t="s">
        <v>5</v>
      </c>
      <c r="C14" s="4"/>
      <c r="D14" s="4">
        <f>$B$10</f>
        <v>1000</v>
      </c>
      <c r="E14" s="4">
        <f t="shared" ref="E14:Z14" si="1">$B$10</f>
        <v>1000</v>
      </c>
      <c r="F14" s="4">
        <f t="shared" si="1"/>
        <v>1000</v>
      </c>
      <c r="G14" s="4">
        <f t="shared" si="1"/>
        <v>1000</v>
      </c>
      <c r="H14" s="4">
        <f t="shared" si="1"/>
        <v>1000</v>
      </c>
      <c r="I14" s="4">
        <f t="shared" si="1"/>
        <v>1000</v>
      </c>
      <c r="J14" s="4">
        <f t="shared" si="1"/>
        <v>1000</v>
      </c>
      <c r="K14" s="4">
        <f t="shared" si="1"/>
        <v>1000</v>
      </c>
      <c r="L14" s="4">
        <f t="shared" si="1"/>
        <v>1000</v>
      </c>
      <c r="M14" s="4">
        <f t="shared" si="1"/>
        <v>1000</v>
      </c>
      <c r="N14" s="4">
        <f t="shared" si="1"/>
        <v>1000</v>
      </c>
      <c r="O14" s="4">
        <f t="shared" si="1"/>
        <v>1000</v>
      </c>
      <c r="P14" s="4">
        <f t="shared" si="1"/>
        <v>1000</v>
      </c>
      <c r="Q14" s="4">
        <f t="shared" si="1"/>
        <v>1000</v>
      </c>
      <c r="R14" s="4">
        <f t="shared" si="1"/>
        <v>1000</v>
      </c>
      <c r="S14" s="4">
        <f t="shared" si="1"/>
        <v>1000</v>
      </c>
      <c r="T14" s="4">
        <f t="shared" si="1"/>
        <v>1000</v>
      </c>
      <c r="U14" s="4">
        <f t="shared" si="1"/>
        <v>1000</v>
      </c>
      <c r="V14" s="4">
        <f t="shared" si="1"/>
        <v>1000</v>
      </c>
      <c r="W14" s="4">
        <f t="shared" si="1"/>
        <v>1000</v>
      </c>
      <c r="X14" s="4">
        <f t="shared" si="1"/>
        <v>1000</v>
      </c>
      <c r="Y14" s="4">
        <f t="shared" si="1"/>
        <v>1000</v>
      </c>
      <c r="Z14" s="4">
        <f t="shared" si="1"/>
        <v>1000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v>1000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idden="1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2709.17</v>
      </c>
      <c r="F17" s="4">
        <f t="shared" si="2"/>
        <v>7925.65</v>
      </c>
      <c r="G17" s="4">
        <f t="shared" si="2"/>
        <v>13153</v>
      </c>
      <c r="H17" s="4">
        <f t="shared" si="2"/>
        <v>18391.240000000002</v>
      </c>
      <c r="I17" s="4">
        <f t="shared" si="2"/>
        <v>23640.39</v>
      </c>
      <c r="J17" s="4">
        <f t="shared" si="2"/>
        <v>12666.72</v>
      </c>
      <c r="K17" s="4">
        <f t="shared" si="2"/>
        <v>13294.36</v>
      </c>
      <c r="L17" s="4">
        <f t="shared" si="2"/>
        <v>13923.31</v>
      </c>
      <c r="M17" s="4">
        <f t="shared" si="2"/>
        <v>14553.57</v>
      </c>
      <c r="N17" s="4">
        <f t="shared" si="2"/>
        <v>19794.72</v>
      </c>
      <c r="O17" s="4">
        <f t="shared" si="2"/>
        <v>25046.79</v>
      </c>
      <c r="P17" s="4">
        <f>O24</f>
        <v>46.89</v>
      </c>
      <c r="Q17" s="4">
        <f t="shared" si="2"/>
        <v>648.24</v>
      </c>
      <c r="R17" s="4">
        <f t="shared" si="2"/>
        <v>1250.8399999999999</v>
      </c>
      <c r="S17" s="4">
        <f t="shared" si="2"/>
        <v>1854.7</v>
      </c>
      <c r="T17" s="4">
        <f t="shared" si="2"/>
        <v>7069.4</v>
      </c>
      <c r="U17" s="4">
        <f t="shared" si="2"/>
        <v>12294.96</v>
      </c>
      <c r="V17" s="4">
        <f t="shared" si="2"/>
        <v>1297.6600000000001</v>
      </c>
      <c r="W17" s="4">
        <f t="shared" si="2"/>
        <v>1901.61</v>
      </c>
      <c r="X17" s="4">
        <f t="shared" si="2"/>
        <v>2506.8200000000002</v>
      </c>
      <c r="Y17" s="4">
        <f t="shared" si="2"/>
        <v>3113.29</v>
      </c>
      <c r="Z17" s="4">
        <f t="shared" si="2"/>
        <v>8330.61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11600</v>
      </c>
      <c r="J18" s="5"/>
      <c r="K18" s="5"/>
      <c r="L18" s="5"/>
      <c r="M18" s="5"/>
      <c r="N18" s="5"/>
      <c r="O18" s="5">
        <f>$B$5+$B$6</f>
        <v>11600</v>
      </c>
      <c r="P18" s="5"/>
      <c r="Q18" s="5"/>
      <c r="R18" s="5"/>
      <c r="S18" s="5"/>
      <c r="T18" s="5"/>
      <c r="U18" s="5">
        <f>$B$5+$B$6</f>
        <v>11600</v>
      </c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4600</v>
      </c>
      <c r="J19" s="5">
        <f>$B$8</f>
        <v>4600</v>
      </c>
      <c r="K19" s="5">
        <f>$B$8</f>
        <v>4600</v>
      </c>
      <c r="L19" s="5">
        <f>$B$8</f>
        <v>4600</v>
      </c>
      <c r="M19" s="5"/>
      <c r="N19" s="5"/>
      <c r="O19" s="5">
        <f>$B$8</f>
        <v>4600</v>
      </c>
      <c r="P19" s="5">
        <f>$B$8</f>
        <v>4600</v>
      </c>
      <c r="Q19" s="5">
        <f>$B$8</f>
        <v>4600</v>
      </c>
      <c r="R19" s="5">
        <f>$B$8</f>
        <v>4600</v>
      </c>
      <c r="S19" s="5"/>
      <c r="T19" s="5"/>
      <c r="U19" s="5">
        <f>$B$8</f>
        <v>4600</v>
      </c>
      <c r="V19" s="5">
        <f>$B$8</f>
        <v>4600</v>
      </c>
      <c r="W19" s="5">
        <f>$B$8</f>
        <v>4600</v>
      </c>
      <c r="X19" s="5">
        <f>$B$8</f>
        <v>4600</v>
      </c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15000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7" hidden="1" thickTop="1" x14ac:dyDescent="0.2">
      <c r="A23" t="s">
        <v>44</v>
      </c>
      <c r="C23">
        <f>(SUMIF(Table146[Type],"Income",Table146[Jan-25])-SUMIF(Table146[Type],"Expense",Table146[Jan-25]))</f>
        <v>1700</v>
      </c>
      <c r="D23">
        <f>SUMIF(Table146[Type],"Income",Table146[Feb-25])-SUMIF(Table146[Type],"Expense",Table146[Feb-25])</f>
        <v>2703.54</v>
      </c>
      <c r="E23">
        <f>SUMIF(Table146[Type],"Income",Table146[Mar-25])-SUMIF(Table146[Type],"Expense",Table146[Mar-25])</f>
        <v>7909.17</v>
      </c>
      <c r="F23">
        <f>SUMIF(Table146[Type],"Income",Table146[Apr-25])-SUMIF(Table146[Type],"Expense",Table146[Apr-25])</f>
        <v>13125.65</v>
      </c>
      <c r="G23">
        <f>SUMIF(Table146[Type],"Income",Table146[May-25])-SUMIF(Table146[Type],"Expense",Table146[May-25])</f>
        <v>18353</v>
      </c>
      <c r="H23">
        <f>SUMIF(Table146[Type],"Income",Table146[Jun-25])-SUMIF(Table146[Type],"Expense",Table146[Jun-25])</f>
        <v>23591.24</v>
      </c>
      <c r="I23">
        <f>SUMIF(Table146[Type],"Income",Table146[Jul-25])-SUMIF(Table146[Type],"Expense",Table146[Jul-25])</f>
        <v>12640.39</v>
      </c>
      <c r="J23">
        <f>SUMIF(Table146[Type],"Income",Table146[Aug-25])-SUMIF(Table146[Type],"Expense",Table146[Aug-25])</f>
        <v>13266.720000000001</v>
      </c>
      <c r="K23">
        <f>SUMIF(Table146[Type],"Income",Table146[Sep-25])-SUMIF(Table146[Type],"Expense",Table146[Sep-25])</f>
        <v>13894.36</v>
      </c>
      <c r="L23">
        <f>SUMIF(Table146[Type],"Income",Table146[Oct-25])-SUMIF(Table146[Type],"Expense",Table146[Oct-25])</f>
        <v>14523.309999999998</v>
      </c>
      <c r="M23">
        <f>SUMIF(Table146[Type],"Income",Table146[Nov-25])-SUMIF(Table146[Type],"Expense",Table146[Nov-25])</f>
        <v>19753.57</v>
      </c>
      <c r="N23">
        <f>SUMIF(Table146[Type],"Income",Table146[Dec-25])-SUMIF(Table146[Type],"Expense",Table146[Dec-25])</f>
        <v>24994.720000000001</v>
      </c>
      <c r="O23">
        <f>SUMIF(Table146[Type],"Income",Table146[Jan-26])-SUMIF(Table146[Type],"Expense",Table146[Jan-26])</f>
        <v>46.790000000000873</v>
      </c>
      <c r="P23">
        <f>SUMIF(Table146[Type],"Income",Table146[Feb-26])-SUMIF(Table146[Type],"Expense",Table146[Feb-26])</f>
        <v>646.89000000000033</v>
      </c>
      <c r="Q23">
        <f>SUMIF(Table146[Type],"Income",Table146[Mar-26])-SUMIF(Table146[Type],"Expense",Table146[Mar-26])</f>
        <v>1248.2399999999998</v>
      </c>
      <c r="R23">
        <f>SUMIF(Table146[Type],"Income",Table146[Apr-26])-SUMIF(Table146[Type],"Expense",Table146[Apr-26])</f>
        <v>1850.8400000000001</v>
      </c>
      <c r="S23">
        <f>SUMIF(Table146[Type],"Income",Table146[May-26])-SUMIF(Table146[Type],"Expense",Table146[May-26])</f>
        <v>7054.7</v>
      </c>
      <c r="T23">
        <f>SUMIF(Table146[Type],"Income",Table146[Jun-26])-SUMIF(Table146[Type],"Expense",Table146[Jun-26])</f>
        <v>12269.4</v>
      </c>
      <c r="U23">
        <f>SUMIF(Table146[Type],"Income",Table146[Jul-26])-SUMIF(Table146[Type],"Expense",Table146[Jul-26])</f>
        <v>1294.9599999999991</v>
      </c>
      <c r="V23">
        <f>SUMIF(Table146[Type],"Income",Table146[Aug-26])-SUMIF(Table146[Type],"Expense",Table146[Aug-26])</f>
        <v>1897.6599999999999</v>
      </c>
      <c r="W23">
        <f>SUMIF(Table146[Type],"Income",Table146[Sep-26])-SUMIF(Table146[Type],"Expense",Table146[Sep-26])</f>
        <v>2501.6099999999997</v>
      </c>
      <c r="X23">
        <f>SUMIF(Table146[Type],"Income",Table146[Oct-26])-SUMIF(Table146[Type],"Expense",Table146[Oct-26])</f>
        <v>3106.8199999999997</v>
      </c>
      <c r="Y23">
        <f>SUMIF(Table146[Type],"Income",Table146[Nov-26])-SUMIF(Table146[Type],"Expense",Table146[Nov-26])</f>
        <v>8313.2900000000009</v>
      </c>
      <c r="Z23">
        <f>SUMIF(Table146[Type],"Income",Table146[Dec-26])-SUMIF(Table146[Type],"Expense",Table146[Dec-26])</f>
        <v>13530.61</v>
      </c>
    </row>
    <row r="24" spans="1:26" s="1" customFormat="1" x14ac:dyDescent="0.2">
      <c r="A24" s="1" t="s">
        <v>50</v>
      </c>
      <c r="C24" s="1">
        <f>ROUND(Table146[[#Totals],[Jan-25]]*$B$3,2)</f>
        <v>1703.54</v>
      </c>
      <c r="D24" s="1">
        <f>ROUND(Table146[[#Totals],[Feb-25]]*$B$3,2)</f>
        <v>2709.17</v>
      </c>
      <c r="E24" s="1">
        <f>ROUND(Table146[[#Totals],[Mar-25]]*$B$3,2)</f>
        <v>7925.65</v>
      </c>
      <c r="F24" s="1">
        <f>ROUND(Table146[[#Totals],[Apr-25]]*$B$3,2)</f>
        <v>13153</v>
      </c>
      <c r="G24" s="1">
        <f>ROUND(Table146[[#Totals],[May-25]]*$B$3,2)</f>
        <v>18391.240000000002</v>
      </c>
      <c r="H24" s="1">
        <f>ROUND(Table146[[#Totals],[Jun-25]]*$B$3,2)</f>
        <v>23640.39</v>
      </c>
      <c r="I24" s="1">
        <f>ROUND(Table146[[#Totals],[Jul-25]]*$B$3,2)</f>
        <v>12666.72</v>
      </c>
      <c r="J24" s="1">
        <f>ROUND(Table146[[#Totals],[Aug-25]]*$B$3,2)</f>
        <v>13294.36</v>
      </c>
      <c r="K24" s="1">
        <f>ROUND(Table146[[#Totals],[Sep-25]]*$B$3,2)</f>
        <v>13923.31</v>
      </c>
      <c r="L24" s="1">
        <f>ROUND(Table146[[#Totals],[Oct-25]]*$B$3,2)</f>
        <v>14553.57</v>
      </c>
      <c r="M24" s="1">
        <f>ROUND(Table146[[#Totals],[Nov-25]]*$B$3,2)</f>
        <v>19794.72</v>
      </c>
      <c r="N24" s="1">
        <f>ROUND(Table146[[#Totals],[Dec-25]]*$B$3,2)</f>
        <v>25046.79</v>
      </c>
      <c r="O24" s="1">
        <f>ROUND(Table146[[#Totals],[Jan-26]]*$B$3,2)</f>
        <v>46.89</v>
      </c>
      <c r="P24" s="1">
        <f>ROUND(Table146[[#Totals],[Feb-26]]*$B$3,2)</f>
        <v>648.24</v>
      </c>
      <c r="Q24" s="1">
        <f>ROUND(Table146[[#Totals],[Mar-26]]*$B$3,2)</f>
        <v>1250.8399999999999</v>
      </c>
      <c r="R24" s="1">
        <f>ROUND(Table146[[#Totals],[Apr-26]]*$B$3,2)</f>
        <v>1854.7</v>
      </c>
      <c r="S24" s="1">
        <f>ROUND(Table146[[#Totals],[May-26]]*$B$3,2)</f>
        <v>7069.4</v>
      </c>
      <c r="T24" s="1">
        <f>ROUND(Table146[[#Totals],[Jun-26]]*$B$3,2)</f>
        <v>12294.96</v>
      </c>
      <c r="U24" s="1">
        <f>ROUND(Table146[[#Totals],[Jul-26]]*$B$3,2)</f>
        <v>1297.6600000000001</v>
      </c>
      <c r="V24" s="1">
        <f>ROUND(Table146[[#Totals],[Aug-26]]*$B$3,2)</f>
        <v>1901.61</v>
      </c>
      <c r="W24" s="1">
        <f>ROUND(Table146[[#Totals],[Sep-26]]*$B$3,2)</f>
        <v>2506.8200000000002</v>
      </c>
      <c r="X24" s="1">
        <f>ROUND(Table146[[#Totals],[Oct-26]]*$B$3,2)</f>
        <v>3113.29</v>
      </c>
      <c r="Y24" s="1">
        <f>ROUND(Table146[[#Totals],[Nov-26]]*$B$3,2)</f>
        <v>8330.61</v>
      </c>
      <c r="Z24" s="1">
        <f>ROUND(Table146[[#Totals],[Dec-26]]*$B$3,2)</f>
        <v>13558.8</v>
      </c>
    </row>
  </sheetData>
  <conditionalFormatting sqref="A23:XFD24">
    <cfRule type="cellIs" dxfId="69" priority="1" operator="lessThan">
      <formula>0</formula>
    </cfRule>
    <cfRule type="cellIs" dxfId="68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EC02-98B4-3146-8BE6-068083E205C2}">
  <sheetPr codeName="Sheet4"/>
  <dimension ref="A1:AL26"/>
  <sheetViews>
    <sheetView topLeftCell="A4" zoomScale="180" zoomScaleNormal="180" workbookViewId="0">
      <selection activeCell="I18" sqref="I18"/>
    </sheetView>
  </sheetViews>
  <sheetFormatPr baseColWidth="10" defaultRowHeight="16" x14ac:dyDescent="0.2"/>
  <cols>
    <col min="1" max="1" width="16.33203125" customWidth="1"/>
    <col min="2" max="2" width="19" bestFit="1" customWidth="1"/>
    <col min="3" max="3" width="9" hidden="1" customWidth="1"/>
    <col min="4" max="4" width="9.33203125" hidden="1" customWidth="1"/>
    <col min="5" max="5" width="7" hidden="1" customWidth="1"/>
    <col min="6" max="6" width="9.1640625" hidden="1" customWidth="1"/>
    <col min="7" max="7" width="9.6640625" bestFit="1" customWidth="1"/>
    <col min="8" max="9" width="9.1640625" bestFit="1" customWidth="1"/>
    <col min="10" max="10" width="9.5" bestFit="1" customWidth="1"/>
    <col min="11" max="12" width="9.33203125" bestFit="1" customWidth="1"/>
    <col min="13" max="13" width="9.5" bestFit="1" customWidth="1"/>
    <col min="14" max="14" width="9.6640625" bestFit="1" customWidth="1"/>
    <col min="15" max="15" width="9.1640625" bestFit="1" customWidth="1"/>
    <col min="16" max="16" width="9.33203125" bestFit="1" customWidth="1"/>
    <col min="17" max="17" width="9.5" bestFit="1" customWidth="1"/>
    <col min="18" max="18" width="9.1640625" bestFit="1" customWidth="1"/>
    <col min="19" max="19" width="9.6640625" bestFit="1" customWidth="1"/>
    <col min="20" max="20" width="9" bestFit="1" customWidth="1"/>
    <col min="21" max="21" width="8.5" bestFit="1" customWidth="1"/>
    <col min="22" max="22" width="9.5" bestFit="1" customWidth="1"/>
    <col min="23" max="24" width="9.33203125" bestFit="1" customWidth="1"/>
    <col min="25" max="25" width="9.5" bestFit="1" customWidth="1"/>
    <col min="26" max="26" width="9.6640625" bestFit="1" customWidth="1"/>
    <col min="27" max="27" width="9" bestFit="1" customWidth="1"/>
    <col min="28" max="28" width="9.33203125" bestFit="1" customWidth="1"/>
    <col min="29" max="29" width="9.5" bestFit="1" customWidth="1"/>
    <col min="30" max="30" width="9.1640625" bestFit="1" customWidth="1"/>
    <col min="31" max="31" width="9.6640625" bestFit="1" customWidth="1"/>
    <col min="32" max="33" width="9.1640625" bestFit="1" customWidth="1"/>
    <col min="34" max="34" width="9.5" bestFit="1" customWidth="1"/>
    <col min="35" max="36" width="9.33203125" bestFit="1" customWidth="1"/>
    <col min="37" max="37" width="9.5" bestFit="1" customWidth="1"/>
    <col min="38" max="38" width="9.6640625" bestFit="1" customWidth="1"/>
  </cols>
  <sheetData>
    <row r="1" spans="1:38" x14ac:dyDescent="0.2">
      <c r="A1" s="1" t="s">
        <v>54</v>
      </c>
      <c r="B1" s="1" t="s">
        <v>55</v>
      </c>
      <c r="C1" s="1"/>
    </row>
    <row r="2" spans="1:38" s="9" customFormat="1" ht="17" x14ac:dyDescent="0.2">
      <c r="A2" s="9" t="s">
        <v>48</v>
      </c>
      <c r="B2" s="9">
        <v>2.5000000000000001E-2</v>
      </c>
    </row>
    <row r="3" spans="1:38" s="9" customFormat="1" ht="17" x14ac:dyDescent="0.2">
      <c r="A3" s="9" t="s">
        <v>49</v>
      </c>
      <c r="B3" s="9">
        <f>1+ B2/12</f>
        <v>1.0020833333333334</v>
      </c>
    </row>
    <row r="4" spans="1:38" s="9" customFormat="1" ht="34" x14ac:dyDescent="0.2">
      <c r="A4" s="9" t="s">
        <v>56</v>
      </c>
      <c r="B4" s="9">
        <v>30000</v>
      </c>
    </row>
    <row r="5" spans="1:38" s="9" customFormat="1" ht="17" x14ac:dyDescent="0.2">
      <c r="A5" s="9" t="s">
        <v>65</v>
      </c>
      <c r="B5" s="9">
        <v>5000</v>
      </c>
    </row>
    <row r="6" spans="1:38" s="9" customFormat="1" ht="17" x14ac:dyDescent="0.2">
      <c r="A6" s="9" t="s">
        <v>66</v>
      </c>
      <c r="B6" s="9">
        <v>2000</v>
      </c>
    </row>
    <row r="7" spans="1:38" s="9" customFormat="1" ht="17" x14ac:dyDescent="0.2">
      <c r="A7" s="9" t="s">
        <v>59</v>
      </c>
      <c r="B7" s="9">
        <f>B4-B5-B6</f>
        <v>23000</v>
      </c>
    </row>
    <row r="8" spans="1:38" s="9" customFormat="1" ht="34" x14ac:dyDescent="0.2">
      <c r="A8" s="9" t="s">
        <v>60</v>
      </c>
      <c r="B8" s="9">
        <v>10000</v>
      </c>
    </row>
    <row r="9" spans="1:38" s="9" customFormat="1" ht="34" x14ac:dyDescent="0.2">
      <c r="A9" s="9" t="s">
        <v>61</v>
      </c>
      <c r="B9" s="9">
        <v>5000</v>
      </c>
    </row>
    <row r="10" spans="1:38" s="9" customFormat="1" ht="34" x14ac:dyDescent="0.2">
      <c r="A10" s="9" t="s">
        <v>62</v>
      </c>
      <c r="B10" s="9">
        <v>1500</v>
      </c>
    </row>
    <row r="12" spans="1:38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  <c r="AA12" s="2" t="s">
        <v>67</v>
      </c>
      <c r="AB12" s="2" t="s">
        <v>68</v>
      </c>
      <c r="AC12" s="2" t="s">
        <v>69</v>
      </c>
      <c r="AD12" s="2" t="s">
        <v>70</v>
      </c>
      <c r="AE12" s="2" t="s">
        <v>71</v>
      </c>
      <c r="AF12" s="2" t="s">
        <v>72</v>
      </c>
      <c r="AG12" s="2" t="s">
        <v>73</v>
      </c>
      <c r="AH12" s="2" t="s">
        <v>74</v>
      </c>
      <c r="AI12" s="2" t="s">
        <v>75</v>
      </c>
      <c r="AJ12" s="2" t="s">
        <v>76</v>
      </c>
      <c r="AK12" s="2" t="s">
        <v>77</v>
      </c>
      <c r="AL12" s="2" t="s">
        <v>78</v>
      </c>
    </row>
    <row r="13" spans="1:38" x14ac:dyDescent="0.2">
      <c r="A13" s="4" t="s">
        <v>2</v>
      </c>
      <c r="B13" s="4" t="s">
        <v>4</v>
      </c>
      <c r="C13" s="6"/>
      <c r="D13" s="6">
        <v>4000</v>
      </c>
      <c r="E13" s="4">
        <v>4000</v>
      </c>
      <c r="F13" s="10">
        <v>4000</v>
      </c>
      <c r="G13" s="10">
        <v>5000</v>
      </c>
      <c r="H13" s="4">
        <v>5000</v>
      </c>
      <c r="I13" s="4">
        <v>5000</v>
      </c>
      <c r="J13" s="4">
        <v>5000</v>
      </c>
      <c r="K13" s="4">
        <v>5000</v>
      </c>
      <c r="L13" s="4">
        <v>5000</v>
      </c>
      <c r="M13" s="4">
        <v>5000</v>
      </c>
      <c r="N13" s="4">
        <v>5000</v>
      </c>
      <c r="O13" s="8">
        <v>5000</v>
      </c>
      <c r="P13" s="8">
        <v>5000</v>
      </c>
      <c r="Q13" s="8">
        <v>5000</v>
      </c>
      <c r="R13" s="8">
        <v>5000</v>
      </c>
      <c r="S13" s="8">
        <v>5000</v>
      </c>
      <c r="T13" s="8">
        <v>5000</v>
      </c>
      <c r="U13" s="4">
        <v>5000</v>
      </c>
      <c r="V13" s="8">
        <v>5000</v>
      </c>
      <c r="W13" s="4">
        <v>5000</v>
      </c>
      <c r="X13" s="8">
        <v>5000</v>
      </c>
      <c r="Y13" s="4">
        <v>5000</v>
      </c>
      <c r="Z13" s="8">
        <v>5000</v>
      </c>
      <c r="AA13" s="4">
        <v>5000</v>
      </c>
      <c r="AB13" s="8">
        <v>5000</v>
      </c>
      <c r="AC13" s="4">
        <v>5000</v>
      </c>
      <c r="AD13" s="8">
        <v>5000</v>
      </c>
      <c r="AE13" s="4">
        <v>5000</v>
      </c>
      <c r="AF13" s="8">
        <v>5000</v>
      </c>
      <c r="AG13" s="4">
        <v>5000</v>
      </c>
      <c r="AH13" s="8">
        <v>5000</v>
      </c>
      <c r="AI13" s="4">
        <v>5000</v>
      </c>
      <c r="AJ13" s="8">
        <v>5000</v>
      </c>
      <c r="AK13" s="4">
        <v>5000</v>
      </c>
      <c r="AL13" s="8">
        <v>5000</v>
      </c>
    </row>
    <row r="14" spans="1:38" x14ac:dyDescent="0.2">
      <c r="A14" s="4" t="s">
        <v>2</v>
      </c>
      <c r="B14" s="4" t="s">
        <v>5</v>
      </c>
      <c r="C14" s="4"/>
      <c r="D14" s="4"/>
      <c r="E14" s="4"/>
      <c r="F14" s="10">
        <f t="shared" ref="F14:AL14" si="0">$B$10</f>
        <v>1500</v>
      </c>
      <c r="G14" s="10">
        <f t="shared" si="0"/>
        <v>1500</v>
      </c>
      <c r="H14" s="4">
        <f t="shared" si="0"/>
        <v>1500</v>
      </c>
      <c r="I14" s="4">
        <f t="shared" si="0"/>
        <v>1500</v>
      </c>
      <c r="J14" s="4">
        <f t="shared" si="0"/>
        <v>1500</v>
      </c>
      <c r="K14" s="4">
        <f t="shared" si="0"/>
        <v>1500</v>
      </c>
      <c r="L14" s="4">
        <f t="shared" si="0"/>
        <v>1500</v>
      </c>
      <c r="M14" s="4">
        <f t="shared" si="0"/>
        <v>1500</v>
      </c>
      <c r="N14" s="4">
        <f t="shared" si="0"/>
        <v>1500</v>
      </c>
      <c r="O14" s="4">
        <f t="shared" si="0"/>
        <v>1500</v>
      </c>
      <c r="P14" s="4">
        <f t="shared" si="0"/>
        <v>1500</v>
      </c>
      <c r="Q14" s="4">
        <f t="shared" si="0"/>
        <v>1500</v>
      </c>
      <c r="R14" s="4">
        <f t="shared" si="0"/>
        <v>1500</v>
      </c>
      <c r="S14" s="4">
        <f t="shared" si="0"/>
        <v>1500</v>
      </c>
      <c r="T14" s="8">
        <v>1500</v>
      </c>
      <c r="U14" s="4">
        <f t="shared" si="0"/>
        <v>1500</v>
      </c>
      <c r="V14" s="4">
        <f t="shared" si="0"/>
        <v>1500</v>
      </c>
      <c r="W14" s="4">
        <f t="shared" si="0"/>
        <v>1500</v>
      </c>
      <c r="X14" s="4">
        <f t="shared" si="0"/>
        <v>1500</v>
      </c>
      <c r="Y14" s="4">
        <f t="shared" si="0"/>
        <v>1500</v>
      </c>
      <c r="Z14" s="4">
        <f t="shared" si="0"/>
        <v>1500</v>
      </c>
      <c r="AA14" s="4">
        <f t="shared" si="0"/>
        <v>1500</v>
      </c>
      <c r="AB14" s="4">
        <f t="shared" si="0"/>
        <v>1500</v>
      </c>
      <c r="AC14" s="4">
        <f t="shared" si="0"/>
        <v>1500</v>
      </c>
      <c r="AD14" s="4">
        <f t="shared" si="0"/>
        <v>1500</v>
      </c>
      <c r="AE14" s="4">
        <f t="shared" si="0"/>
        <v>1500</v>
      </c>
      <c r="AF14" s="4">
        <f t="shared" si="0"/>
        <v>1500</v>
      </c>
      <c r="AG14" s="4">
        <f t="shared" si="0"/>
        <v>1500</v>
      </c>
      <c r="AH14" s="4">
        <f t="shared" si="0"/>
        <v>1500</v>
      </c>
      <c r="AI14" s="4">
        <f t="shared" si="0"/>
        <v>1500</v>
      </c>
      <c r="AJ14" s="4">
        <f t="shared" si="0"/>
        <v>1500</v>
      </c>
      <c r="AK14" s="4">
        <f t="shared" si="0"/>
        <v>1500</v>
      </c>
      <c r="AL14" s="4">
        <f t="shared" si="0"/>
        <v>1500</v>
      </c>
    </row>
    <row r="15" spans="1:38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1">D24</f>
        <v>5715.42</v>
      </c>
      <c r="F17" s="10">
        <f t="shared" si="1"/>
        <v>9735.66</v>
      </c>
      <c r="G17" s="10">
        <f t="shared" si="1"/>
        <v>15267.4</v>
      </c>
      <c r="H17" s="4">
        <f t="shared" si="1"/>
        <v>21812.75</v>
      </c>
      <c r="I17" s="4">
        <f t="shared" si="1"/>
        <v>28371.73</v>
      </c>
      <c r="J17" s="4">
        <f t="shared" si="1"/>
        <v>22919.38</v>
      </c>
      <c r="K17" s="4">
        <f t="shared" si="1"/>
        <v>24470.25</v>
      </c>
      <c r="L17" s="4">
        <f t="shared" si="1"/>
        <v>26024.35</v>
      </c>
      <c r="M17" s="4">
        <f t="shared" si="1"/>
        <v>27581.69</v>
      </c>
      <c r="N17" s="4">
        <f t="shared" si="1"/>
        <v>29142.28</v>
      </c>
      <c r="O17" s="4">
        <f t="shared" si="1"/>
        <v>30706.12</v>
      </c>
      <c r="P17" s="4">
        <f>O24</f>
        <v>20248.22</v>
      </c>
      <c r="Q17" s="4">
        <f t="shared" si="1"/>
        <v>16783.11</v>
      </c>
      <c r="R17" s="4">
        <f t="shared" si="1"/>
        <v>13310.78</v>
      </c>
      <c r="S17" s="4">
        <f t="shared" si="1"/>
        <v>9831.2199999999993</v>
      </c>
      <c r="T17" s="4">
        <f t="shared" si="1"/>
        <v>6344.41</v>
      </c>
      <c r="U17" s="4">
        <f t="shared" si="1"/>
        <v>2850.34</v>
      </c>
      <c r="V17" s="4">
        <f t="shared" si="1"/>
        <v>4359.3999999999996</v>
      </c>
      <c r="W17" s="4">
        <f t="shared" si="1"/>
        <v>5871.61</v>
      </c>
      <c r="X17" s="4">
        <f t="shared" si="1"/>
        <v>7386.97</v>
      </c>
      <c r="Y17" s="4">
        <f t="shared" si="1"/>
        <v>8905.48</v>
      </c>
      <c r="Z17" s="4">
        <f t="shared" si="1"/>
        <v>10427.16</v>
      </c>
      <c r="AA17" s="4">
        <f t="shared" ref="AA17" si="2">Z24</f>
        <v>11952.01</v>
      </c>
      <c r="AB17" s="4">
        <f t="shared" ref="AB17" si="3">AA24</f>
        <v>6465.45</v>
      </c>
      <c r="AC17" s="4">
        <f t="shared" ref="AC17" si="4">AB24</f>
        <v>7982.04</v>
      </c>
      <c r="AD17" s="4">
        <f t="shared" ref="AD17" si="5">AC24</f>
        <v>9501.7900000000009</v>
      </c>
      <c r="AE17" s="4">
        <f t="shared" ref="AE17" si="6">AD24</f>
        <v>11024.71</v>
      </c>
      <c r="AF17" s="4">
        <f t="shared" ref="AF17" si="7">AE24</f>
        <v>12550.8</v>
      </c>
      <c r="AG17" s="4">
        <f t="shared" ref="AG17" si="8">AF24</f>
        <v>14080.07</v>
      </c>
      <c r="AH17" s="4">
        <f t="shared" ref="AH17" si="9">AG24</f>
        <v>15612.53</v>
      </c>
      <c r="AI17" s="4">
        <f t="shared" ref="AI17" si="10">AH24</f>
        <v>17148.18</v>
      </c>
      <c r="AJ17" s="4">
        <f t="shared" ref="AJ17" si="11">AI24</f>
        <v>18687.03</v>
      </c>
      <c r="AK17" s="4">
        <f t="shared" ref="AK17" si="12">AJ24</f>
        <v>20229.09</v>
      </c>
      <c r="AL17" s="4">
        <f t="shared" ref="AL17" si="13">AK24</f>
        <v>21774.36</v>
      </c>
    </row>
    <row r="18" spans="1:38" x14ac:dyDescent="0.2">
      <c r="A18" s="5" t="s">
        <v>0</v>
      </c>
      <c r="B18" s="5" t="s">
        <v>81</v>
      </c>
      <c r="C18" s="5"/>
      <c r="D18" s="5"/>
      <c r="E18" s="5"/>
      <c r="F18" s="5"/>
      <c r="G18" s="5"/>
      <c r="H18" s="5"/>
      <c r="I18" s="5">
        <f>$B$5+$B$6</f>
        <v>7000</v>
      </c>
      <c r="J18" s="5"/>
      <c r="K18" s="5"/>
      <c r="L18" s="5"/>
      <c r="M18" s="5"/>
      <c r="N18" s="5"/>
      <c r="O18" s="5">
        <f>$B$5+$B$6</f>
        <v>7000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7000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x14ac:dyDescent="0.2">
      <c r="A19" s="5" t="s">
        <v>0</v>
      </c>
      <c r="B19" s="5" t="s">
        <v>82</v>
      </c>
      <c r="C19" s="5"/>
      <c r="D19" s="5"/>
      <c r="E19" s="5"/>
      <c r="F19" s="5"/>
      <c r="G19" s="5"/>
      <c r="H19" s="5"/>
      <c r="I19" s="5">
        <v>5000</v>
      </c>
      <c r="J19" s="5">
        <v>5000</v>
      </c>
      <c r="K19" s="5">
        <v>5000</v>
      </c>
      <c r="L19" s="5">
        <v>5000</v>
      </c>
      <c r="M19" s="5">
        <v>5000</v>
      </c>
      <c r="N19" s="5">
        <v>5000</v>
      </c>
      <c r="O19" s="5">
        <v>10000</v>
      </c>
      <c r="P19" s="5">
        <v>10000</v>
      </c>
      <c r="Q19" s="5">
        <v>10000</v>
      </c>
      <c r="R19" s="5">
        <v>10000</v>
      </c>
      <c r="S19" s="5">
        <v>10000</v>
      </c>
      <c r="T19" s="5">
        <v>10000</v>
      </c>
      <c r="U19" s="5">
        <v>5000</v>
      </c>
      <c r="V19" s="5">
        <v>5000</v>
      </c>
      <c r="W19" s="5">
        <v>5000</v>
      </c>
      <c r="X19" s="5">
        <v>5000</v>
      </c>
      <c r="Y19" s="5">
        <v>5000</v>
      </c>
      <c r="Z19" s="5">
        <v>5000</v>
      </c>
      <c r="AA19" s="5">
        <v>5000</v>
      </c>
      <c r="AB19" s="5">
        <v>5000</v>
      </c>
      <c r="AC19" s="5">
        <v>5000</v>
      </c>
      <c r="AD19" s="5">
        <v>5000</v>
      </c>
      <c r="AE19" s="5">
        <v>5000</v>
      </c>
      <c r="AF19" s="5">
        <v>5000</v>
      </c>
      <c r="AG19" s="5">
        <v>5000</v>
      </c>
      <c r="AH19" s="5">
        <v>5000</v>
      </c>
      <c r="AI19" s="5">
        <v>5000</v>
      </c>
      <c r="AJ19" s="5">
        <v>5000</v>
      </c>
      <c r="AK19" s="5">
        <v>5000</v>
      </c>
      <c r="AL19" s="5">
        <v>5000</v>
      </c>
    </row>
    <row r="20" spans="1:38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x14ac:dyDescent="0.2">
      <c r="A23" t="s">
        <v>44</v>
      </c>
      <c r="C23">
        <f>(SUMIF(Table1439[Type],"Income",Table1439[Jan-25])-SUMIF(Table1439[Type],"Expense",Table1439[Jan-25]))</f>
        <v>1700</v>
      </c>
      <c r="D23">
        <f>SUMIF(Table1439[Type],"Income",Table1439[Feb-25])-SUMIF(Table1439[Type],"Expense",Table1439[Feb-25])</f>
        <v>5703.54</v>
      </c>
      <c r="E23">
        <f>SUMIF(Table1439[Type],"Income",Table1439[Mar-25])-SUMIF(Table1439[Type],"Expense",Table1439[Mar-25])</f>
        <v>9715.42</v>
      </c>
      <c r="F23">
        <f>SUMIF(Table1439[Type],"Income",Table1439[Apr-25])-SUMIF(Table1439[Type],"Expense",Table1439[Apr-25])</f>
        <v>15235.66</v>
      </c>
      <c r="G23">
        <f>SUMIF(Table1439[Type],"Income",Table1439[May-25])-SUMIF(Table1439[Type],"Expense",Table1439[May-25])</f>
        <v>21767.4</v>
      </c>
      <c r="H23">
        <f>SUMIF(Table1439[Type],"Income",Table1439[Jun-25])-SUMIF(Table1439[Type],"Expense",Table1439[Jun-25])</f>
        <v>28312.75</v>
      </c>
      <c r="I23">
        <f>SUMIF(Table1439[Type],"Income",Table1439[Jul-25])-SUMIF(Table1439[Type],"Expense",Table1439[Jul-25])</f>
        <v>22871.729999999996</v>
      </c>
      <c r="J23">
        <f>SUMIF(Table1439[Type],"Income",Table1439[Aug-25])-SUMIF(Table1439[Type],"Expense",Table1439[Aug-25])</f>
        <v>24419.38</v>
      </c>
      <c r="K23">
        <f>SUMIF(Table1439[Type],"Income",Table1439[Sep-25])-SUMIF(Table1439[Type],"Expense",Table1439[Sep-25])</f>
        <v>25970.25</v>
      </c>
      <c r="L23">
        <f>SUMIF(Table1439[Type],"Income",Table1439[Oct-25])-SUMIF(Table1439[Type],"Expense",Table1439[Oct-25])</f>
        <v>27524.35</v>
      </c>
      <c r="M23">
        <f>SUMIF(Table1439[Type],"Income",Table1439[Nov-25])-SUMIF(Table1439[Type],"Expense",Table1439[Nov-25])</f>
        <v>29081.690000000002</v>
      </c>
      <c r="N23">
        <f>SUMIF(Table1439[Type],"Income",Table1439[Dec-25])-SUMIF(Table1439[Type],"Expense",Table1439[Dec-25])</f>
        <v>30642.28</v>
      </c>
      <c r="O23">
        <f>SUMIF(Table1439[Type],"Income",Table1439[Jan-26])-SUMIF(Table1439[Type],"Expense",Table1439[Jan-26])</f>
        <v>20206.119999999995</v>
      </c>
      <c r="P23">
        <f>SUMIF(Table1439[Type],"Income",Table1439[Feb-26])-SUMIF(Table1439[Type],"Expense",Table1439[Feb-26])</f>
        <v>16748.22</v>
      </c>
      <c r="Q23">
        <f>SUMIF(Table1439[Type],"Income",Table1439[Mar-26])-SUMIF(Table1439[Type],"Expense",Table1439[Mar-26])</f>
        <v>13283.11</v>
      </c>
      <c r="R23">
        <f>SUMIF(Table1439[Type],"Income",Table1439[Apr-26])-SUMIF(Table1439[Type],"Expense",Table1439[Apr-26])</f>
        <v>9810.7799999999988</v>
      </c>
      <c r="S23">
        <f>SUMIF(Table1439[Type],"Income",Table1439[May-26])-SUMIF(Table1439[Type],"Expense",Table1439[May-26])</f>
        <v>6331.2199999999993</v>
      </c>
      <c r="T23">
        <f>SUMIF(Table1439[Type],"Income",Table1439[Jun-26])-SUMIF(Table1439[Type],"Expense",Table1439[Jun-26])</f>
        <v>2844.41</v>
      </c>
      <c r="U23">
        <f>SUMIF(Table1439[Type],"Income",Table1439[Jul-26])-SUMIF(Table1439[Type],"Expense",Table1439[Jul-26])</f>
        <v>4350.34</v>
      </c>
      <c r="V23">
        <f>SUMIF(Table1439[Type],"Income",Table1439[Aug-26])-SUMIF(Table1439[Type],"Expense",Table1439[Aug-26])</f>
        <v>5859.4</v>
      </c>
      <c r="W23">
        <f>SUMIF(Table1439[Type],"Income",Table1439[Sep-26])-SUMIF(Table1439[Type],"Expense",Table1439[Sep-26])</f>
        <v>7371.6100000000006</v>
      </c>
      <c r="X23">
        <f>SUMIF(Table1439[Type],"Income",Table1439[Oct-26])-SUMIF(Table1439[Type],"Expense",Table1439[Oct-26])</f>
        <v>8886.9700000000012</v>
      </c>
      <c r="Y23">
        <f>SUMIF(Table1439[Type],"Income",Table1439[Nov-26])-SUMIF(Table1439[Type],"Expense",Table1439[Nov-26])</f>
        <v>10405.48</v>
      </c>
      <c r="Z23">
        <f>SUMIF(Table1439[Type],"Income",Table1439[Dec-26])-SUMIF(Table1439[Type],"Expense",Table1439[Dec-26])</f>
        <v>11927.16</v>
      </c>
      <c r="AA23">
        <f>SUMIF(Table1439[Type],"Income",Table1439[Jan-27])-SUMIF(Table1439[Type],"Expense",Table1439[Jan-27])</f>
        <v>6452.010000000002</v>
      </c>
      <c r="AB23">
        <f>SUMIF(Table1439[Type],"Income",Table1439[Feb-27])-SUMIF(Table1439[Type],"Expense",Table1439[Feb-27])</f>
        <v>7965.4500000000007</v>
      </c>
      <c r="AC23">
        <f>SUMIF(Table1439[Type],"Income",Table1439[Mar-27])-SUMIF(Table1439[Type],"Expense",Table1439[Mar-27])</f>
        <v>9482.0400000000009</v>
      </c>
      <c r="AD23">
        <f>SUMIF(Table1439[Type],"Income",Table1439[Apr-27])-SUMIF(Table1439[Type],"Expense",Table1439[Apr-27])</f>
        <v>11001.79</v>
      </c>
      <c r="AE23">
        <f>SUMIF(Table1439[Type],"Income",Table1439[May-27])-SUMIF(Table1439[Type],"Expense",Table1439[May-27])</f>
        <v>12524.71</v>
      </c>
      <c r="AF23">
        <f>SUMIF(Table1439[Type],"Income",Table1439[Jun-27])-SUMIF(Table1439[Type],"Expense",Table1439[Jun-27])</f>
        <v>14050.8</v>
      </c>
      <c r="AG23">
        <f>SUMIF(Table1439[Type],"Income",Table1439[Jul-27])-SUMIF(Table1439[Type],"Expense",Table1439[Jul-27])</f>
        <v>15580.07</v>
      </c>
      <c r="AH23">
        <f>SUMIF(Table1439[Type],"Income",Table1439[Aug-27])-SUMIF(Table1439[Type],"Expense",Table1439[Aug-27])</f>
        <v>17112.53</v>
      </c>
      <c r="AI23">
        <f>SUMIF(Table1439[Type],"Income",Table1439[Sep-27])-SUMIF(Table1439[Type],"Expense",Table1439[Sep-27])</f>
        <v>18648.18</v>
      </c>
      <c r="AJ23">
        <f>SUMIF(Table1439[Type],"Income",Table1439[Oct-27])-SUMIF(Table1439[Type],"Expense",Table1439[Oct-27])</f>
        <v>20187.03</v>
      </c>
      <c r="AK23">
        <f>SUMIF(Table1439[Type],"Income",Table1439[Nov-27])-SUMIF(Table1439[Type],"Expense",Table1439[Nov-27])</f>
        <v>21729.09</v>
      </c>
      <c r="AL23">
        <f>SUMIF(Table1439[Type],"Income",Table1439[Dec-27])-SUMIF(Table1439[Type],"Expense",Table1439[Dec-27])</f>
        <v>23274.36</v>
      </c>
    </row>
    <row r="24" spans="1:38" s="1" customFormat="1" x14ac:dyDescent="0.2">
      <c r="A24" s="1" t="s">
        <v>50</v>
      </c>
      <c r="C24" s="1">
        <f>ROUND(Table1439[[#Totals],[Jan-25]]*$B$3,2)</f>
        <v>1703.54</v>
      </c>
      <c r="D24" s="1">
        <f>ROUND(Table1439[[#Totals],[Feb-25]]*$B$3,2)</f>
        <v>5715.42</v>
      </c>
      <c r="E24" s="1">
        <f>ROUND(Table1439[[#Totals],[Mar-25]]*$B$3,2)</f>
        <v>9735.66</v>
      </c>
      <c r="F24" s="1">
        <f>ROUND(Table1439[[#Totals],[Apr-25]]*$B$3,2)</f>
        <v>15267.4</v>
      </c>
      <c r="G24" s="1">
        <f>ROUND(Table1439[[#Totals],[May-25]]*$B$3,2)</f>
        <v>21812.75</v>
      </c>
      <c r="H24" s="1">
        <f>ROUND(Table1439[[#Totals],[Jun-25]]*$B$3,2)</f>
        <v>28371.73</v>
      </c>
      <c r="I24" s="1">
        <f>ROUND(Table1439[[#Totals],[Jul-25]]*$B$3,2)</f>
        <v>22919.38</v>
      </c>
      <c r="J24" s="1">
        <f>ROUND(Table1439[[#Totals],[Aug-25]]*$B$3,2)</f>
        <v>24470.25</v>
      </c>
      <c r="K24" s="1">
        <f>ROUND(Table1439[[#Totals],[Sep-25]]*$B$3,2)</f>
        <v>26024.35</v>
      </c>
      <c r="L24" s="1">
        <f>ROUND(Table1439[[#Totals],[Oct-25]]*$B$3,2)</f>
        <v>27581.69</v>
      </c>
      <c r="M24" s="1">
        <f>ROUND(Table1439[[#Totals],[Nov-25]]*$B$3,2)</f>
        <v>29142.28</v>
      </c>
      <c r="N24" s="1">
        <f>ROUND(Table1439[[#Totals],[Dec-25]]*$B$3,2)</f>
        <v>30706.12</v>
      </c>
      <c r="O24" s="1">
        <f>ROUND(Table1439[[#Totals],[Jan-26]]*$B$3,2)</f>
        <v>20248.22</v>
      </c>
      <c r="P24" s="1">
        <f>ROUND(Table1439[[#Totals],[Feb-26]]*$B$3,2)</f>
        <v>16783.11</v>
      </c>
      <c r="Q24" s="1">
        <f>ROUND(Table1439[[#Totals],[Mar-26]]*$B$3,2)</f>
        <v>13310.78</v>
      </c>
      <c r="R24" s="1">
        <f>ROUND(Table1439[[#Totals],[Apr-26]]*$B$3,2)</f>
        <v>9831.2199999999993</v>
      </c>
      <c r="S24" s="1">
        <f>ROUND(Table1439[[#Totals],[May-26]]*$B$3,2)</f>
        <v>6344.41</v>
      </c>
      <c r="T24" s="1">
        <f>ROUND(Table1439[[#Totals],[Jun-26]]*$B$3,2)</f>
        <v>2850.34</v>
      </c>
      <c r="U24" s="1">
        <f>ROUND(Table1439[[#Totals],[Jul-26]]*$B$3,2)</f>
        <v>4359.3999999999996</v>
      </c>
      <c r="V24" s="1">
        <f>ROUND(Table1439[[#Totals],[Aug-26]]*$B$3,2)</f>
        <v>5871.61</v>
      </c>
      <c r="W24" s="1">
        <f>ROUND(Table1439[[#Totals],[Sep-26]]*$B$3,2)</f>
        <v>7386.97</v>
      </c>
      <c r="X24" s="1">
        <f>ROUND(Table1439[[#Totals],[Oct-26]]*$B$3,2)</f>
        <v>8905.48</v>
      </c>
      <c r="Y24" s="1">
        <f>ROUND(Table1439[[#Totals],[Nov-26]]*$B$3,2)</f>
        <v>10427.16</v>
      </c>
      <c r="Z24" s="1">
        <f>ROUND(Table1439[[#Totals],[Dec-26]]*$B$3,2)</f>
        <v>11952.01</v>
      </c>
      <c r="AA24" s="1">
        <f>ROUND(Table1439[[#Totals],[Jan-27]]*$B$3,2)</f>
        <v>6465.45</v>
      </c>
      <c r="AB24" s="1">
        <f>ROUND(Table1439[[#Totals],[Feb-27]]*$B$3,2)</f>
        <v>7982.04</v>
      </c>
      <c r="AC24" s="1">
        <f>ROUND(Table1439[[#Totals],[Mar-27]]*$B$3,2)</f>
        <v>9501.7900000000009</v>
      </c>
      <c r="AD24" s="1">
        <f>ROUND(Table1439[[#Totals],[Apr-27]]*$B$3,2)</f>
        <v>11024.71</v>
      </c>
      <c r="AE24" s="1">
        <f>ROUND(Table1439[[#Totals],[May-27]]*$B$3,2)</f>
        <v>12550.8</v>
      </c>
      <c r="AF24" s="1">
        <f>ROUND(Table1439[[#Totals],[Jun-27]]*$B$3,2)</f>
        <v>14080.07</v>
      </c>
      <c r="AG24" s="1">
        <f>ROUND(Table1439[[#Totals],[Jul-27]]*$B$3,2)</f>
        <v>15612.53</v>
      </c>
      <c r="AH24" s="1">
        <f>ROUND(Table1439[[#Totals],[Aug-27]]*$B$3,2)</f>
        <v>17148.18</v>
      </c>
      <c r="AI24" s="1">
        <f>ROUND(Table1439[[#Totals],[Sep-27]]*$B$3,2)</f>
        <v>18687.03</v>
      </c>
      <c r="AJ24" s="1">
        <f>ROUND(Table1439[[#Totals],[Oct-27]]*$B$3,2)</f>
        <v>20229.09</v>
      </c>
      <c r="AK24" s="1">
        <f>ROUND(Table1439[[#Totals],[Nov-27]]*$B$3,2)</f>
        <v>21774.36</v>
      </c>
      <c r="AL24" s="1">
        <f>ROUND(Table1439[[#Totals],[Dec-27]]*$B$3,2)</f>
        <v>23322.85</v>
      </c>
    </row>
    <row r="25" spans="1:38" x14ac:dyDescent="0.2">
      <c r="A25" t="s">
        <v>79</v>
      </c>
      <c r="F25" t="s">
        <v>80</v>
      </c>
      <c r="G25" t="s">
        <v>80</v>
      </c>
    </row>
    <row r="26" spans="1:38" x14ac:dyDescent="0.2">
      <c r="E26" t="s">
        <v>64</v>
      </c>
    </row>
  </sheetData>
  <phoneticPr fontId="1" type="noConversion"/>
  <conditionalFormatting sqref="A23:XFD24">
    <cfRule type="cellIs" dxfId="67" priority="1" operator="lessThan">
      <formula>0</formula>
    </cfRule>
    <cfRule type="cellIs" dxfId="66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EAE-614E-BD48-AD10-D7140908FA00}">
  <sheetPr codeName="Sheet5"/>
  <dimension ref="A1:Z26"/>
  <sheetViews>
    <sheetView zoomScale="180" zoomScaleNormal="180" workbookViewId="0">
      <selection activeCell="I18" sqref="I18:I19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hidden="1" customWidth="1"/>
    <col min="4" max="5" width="0" hidden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65</v>
      </c>
      <c r="B5">
        <v>5000</v>
      </c>
    </row>
    <row r="6" spans="1:26" x14ac:dyDescent="0.2">
      <c r="A6" t="s">
        <v>66</v>
      </c>
      <c r="B6">
        <v>2000</v>
      </c>
    </row>
    <row r="7" spans="1:26" x14ac:dyDescent="0.2">
      <c r="A7" t="s">
        <v>59</v>
      </c>
      <c r="B7">
        <f>B4-B5-B6</f>
        <v>23000</v>
      </c>
    </row>
    <row r="8" spans="1:26" x14ac:dyDescent="0.2">
      <c r="A8" t="s">
        <v>60</v>
      </c>
      <c r="B8">
        <v>5000</v>
      </c>
    </row>
    <row r="9" spans="1:26" x14ac:dyDescent="0.2">
      <c r="A9" t="s">
        <v>61</v>
      </c>
      <c r="B9">
        <v>4000</v>
      </c>
    </row>
    <row r="10" spans="1:26" x14ac:dyDescent="0.2">
      <c r="A10" t="s">
        <v>62</v>
      </c>
      <c r="B10">
        <v>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x14ac:dyDescent="0.2">
      <c r="A13" s="4" t="s">
        <v>2</v>
      </c>
      <c r="B13" s="4" t="s">
        <v>4</v>
      </c>
      <c r="C13" s="6"/>
      <c r="D13" s="6">
        <v>4000</v>
      </c>
      <c r="E13" s="4">
        <f t="shared" ref="E13:Z13" si="0">$B$9</f>
        <v>4000</v>
      </c>
      <c r="F13" s="4">
        <f t="shared" si="0"/>
        <v>4000</v>
      </c>
      <c r="G13" s="4">
        <f t="shared" si="0"/>
        <v>4000</v>
      </c>
      <c r="H13" s="4">
        <f t="shared" si="0"/>
        <v>4000</v>
      </c>
      <c r="I13" s="4">
        <f t="shared" si="0"/>
        <v>4000</v>
      </c>
      <c r="J13" s="4">
        <f t="shared" si="0"/>
        <v>4000</v>
      </c>
      <c r="K13" s="4">
        <f t="shared" si="0"/>
        <v>4000</v>
      </c>
      <c r="L13" s="4">
        <f t="shared" si="0"/>
        <v>4000</v>
      </c>
      <c r="M13" s="4">
        <f t="shared" si="0"/>
        <v>4000</v>
      </c>
      <c r="N13" s="4">
        <f t="shared" si="0"/>
        <v>4000</v>
      </c>
      <c r="O13" s="4">
        <f t="shared" si="0"/>
        <v>4000</v>
      </c>
      <c r="P13" s="4">
        <f t="shared" si="0"/>
        <v>4000</v>
      </c>
      <c r="Q13" s="4">
        <f t="shared" si="0"/>
        <v>4000</v>
      </c>
      <c r="R13" s="4">
        <f t="shared" si="0"/>
        <v>4000</v>
      </c>
      <c r="S13" s="4">
        <f t="shared" si="0"/>
        <v>4000</v>
      </c>
      <c r="T13" s="4">
        <f t="shared" si="0"/>
        <v>4000</v>
      </c>
      <c r="U13" s="4">
        <f t="shared" si="0"/>
        <v>4000</v>
      </c>
      <c r="V13" s="4">
        <f t="shared" si="0"/>
        <v>4000</v>
      </c>
      <c r="W13" s="4">
        <f t="shared" si="0"/>
        <v>4000</v>
      </c>
      <c r="X13" s="4">
        <f t="shared" si="0"/>
        <v>4000</v>
      </c>
      <c r="Y13" s="4">
        <f t="shared" si="0"/>
        <v>4000</v>
      </c>
      <c r="Z13" s="4">
        <f t="shared" si="0"/>
        <v>4000</v>
      </c>
    </row>
    <row r="14" spans="1:26" x14ac:dyDescent="0.2">
      <c r="A14" s="4" t="s">
        <v>2</v>
      </c>
      <c r="B14" s="4" t="s">
        <v>5</v>
      </c>
      <c r="C14" s="4"/>
      <c r="D14" s="4">
        <f>$B$10</f>
        <v>0</v>
      </c>
      <c r="E14" s="4">
        <f t="shared" ref="E14:Z14" si="1">$B$10</f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  <c r="Y14" s="4">
        <f t="shared" si="1"/>
        <v>0</v>
      </c>
      <c r="Z14" s="4">
        <f t="shared" si="1"/>
        <v>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5715.42</v>
      </c>
      <c r="F17" s="4">
        <f t="shared" si="2"/>
        <v>9735.66</v>
      </c>
      <c r="G17" s="4">
        <f t="shared" si="2"/>
        <v>13764.28</v>
      </c>
      <c r="H17" s="4">
        <f t="shared" si="2"/>
        <v>17801.29</v>
      </c>
      <c r="I17" s="4">
        <f t="shared" si="2"/>
        <v>21846.71</v>
      </c>
      <c r="J17" s="4">
        <f t="shared" si="2"/>
        <v>13875.56</v>
      </c>
      <c r="K17" s="4">
        <f t="shared" si="2"/>
        <v>12902.38</v>
      </c>
      <c r="L17" s="4">
        <f t="shared" si="2"/>
        <v>11927.18</v>
      </c>
      <c r="M17" s="4">
        <f t="shared" si="2"/>
        <v>10949.94</v>
      </c>
      <c r="N17" s="4">
        <f t="shared" si="2"/>
        <v>9970.67</v>
      </c>
      <c r="O17" s="4">
        <f t="shared" si="2"/>
        <v>8989.36</v>
      </c>
      <c r="P17" s="4">
        <f>O24</f>
        <v>8006</v>
      </c>
      <c r="Q17" s="4">
        <f t="shared" si="2"/>
        <v>7020.6</v>
      </c>
      <c r="R17" s="4">
        <f t="shared" si="2"/>
        <v>6033.14</v>
      </c>
      <c r="S17" s="4">
        <f t="shared" si="2"/>
        <v>5043.63</v>
      </c>
      <c r="T17" s="4">
        <f t="shared" si="2"/>
        <v>4052.05</v>
      </c>
      <c r="U17" s="4">
        <f t="shared" si="2"/>
        <v>3058.41</v>
      </c>
      <c r="V17" s="4">
        <f t="shared" si="2"/>
        <v>7073.12</v>
      </c>
      <c r="W17" s="4">
        <f t="shared" si="2"/>
        <v>11096.19</v>
      </c>
      <c r="X17" s="4">
        <f t="shared" si="2"/>
        <v>15127.64</v>
      </c>
      <c r="Y17" s="4">
        <f t="shared" si="2"/>
        <v>19167.490000000002</v>
      </c>
      <c r="Z17" s="4">
        <f t="shared" si="2"/>
        <v>23215.759999999998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7000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5000</v>
      </c>
      <c r="J19" s="5">
        <f>$B$8</f>
        <v>5000</v>
      </c>
      <c r="K19" s="5">
        <f>$B$8</f>
        <v>5000</v>
      </c>
      <c r="L19" s="5">
        <f>$B$8</f>
        <v>5000</v>
      </c>
      <c r="M19" s="5">
        <f t="shared" ref="M19:T19" si="3">$B$8</f>
        <v>5000</v>
      </c>
      <c r="N19" s="5">
        <f t="shared" si="3"/>
        <v>5000</v>
      </c>
      <c r="O19" s="5">
        <f t="shared" si="3"/>
        <v>5000</v>
      </c>
      <c r="P19" s="5">
        <f t="shared" si="3"/>
        <v>5000</v>
      </c>
      <c r="Q19" s="5">
        <f t="shared" si="3"/>
        <v>5000</v>
      </c>
      <c r="R19" s="5">
        <f t="shared" si="3"/>
        <v>5000</v>
      </c>
      <c r="S19" s="5">
        <f>$B$8</f>
        <v>5000</v>
      </c>
      <c r="T19" s="5">
        <f t="shared" si="3"/>
        <v>5000</v>
      </c>
      <c r="U19" s="5"/>
      <c r="V19" s="5"/>
      <c r="W19" s="5"/>
      <c r="X19" s="5"/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t="s">
        <v>44</v>
      </c>
      <c r="C23">
        <f>(SUMIF(Table143[Type],"Income",Table143[Jan-25])-SUMIF(Table143[Type],"Expense",Table143[Jan-25]))</f>
        <v>1700</v>
      </c>
      <c r="D23">
        <f>SUMIF(Table143[Type],"Income",Table143[Feb-25])-SUMIF(Table143[Type],"Expense",Table143[Feb-25])</f>
        <v>5703.54</v>
      </c>
      <c r="E23">
        <f>SUMIF(Table143[Type],"Income",Table143[Mar-25])-SUMIF(Table143[Type],"Expense",Table143[Mar-25])</f>
        <v>9715.42</v>
      </c>
      <c r="F23">
        <f>SUMIF(Table143[Type],"Income",Table143[Apr-25])-SUMIF(Table143[Type],"Expense",Table143[Apr-25])</f>
        <v>13735.66</v>
      </c>
      <c r="G23">
        <f>SUMIF(Table143[Type],"Income",Table143[May-25])-SUMIF(Table143[Type],"Expense",Table143[May-25])</f>
        <v>17764.28</v>
      </c>
      <c r="H23">
        <f>SUMIF(Table143[Type],"Income",Table143[Jun-25])-SUMIF(Table143[Type],"Expense",Table143[Jun-25])</f>
        <v>21801.29</v>
      </c>
      <c r="I23">
        <f>SUMIF(Table143[Type],"Income",Table143[Jul-25])-SUMIF(Table143[Type],"Expense",Table143[Jul-25])</f>
        <v>13846.71</v>
      </c>
      <c r="J23">
        <f>SUMIF(Table143[Type],"Income",Table143[Aug-25])-SUMIF(Table143[Type],"Expense",Table143[Aug-25])</f>
        <v>12875.559999999998</v>
      </c>
      <c r="K23">
        <f>SUMIF(Table143[Type],"Income",Table143[Sep-25])-SUMIF(Table143[Type],"Expense",Table143[Sep-25])</f>
        <v>11902.379999999997</v>
      </c>
      <c r="L23">
        <f>SUMIF(Table143[Type],"Income",Table143[Oct-25])-SUMIF(Table143[Type],"Expense",Table143[Oct-25])</f>
        <v>10927.18</v>
      </c>
      <c r="M23">
        <f>SUMIF(Table143[Type],"Income",Table143[Nov-25])-SUMIF(Table143[Type],"Expense",Table143[Nov-25])</f>
        <v>9949.94</v>
      </c>
      <c r="N23">
        <f>SUMIF(Table143[Type],"Income",Table143[Dec-25])-SUMIF(Table143[Type],"Expense",Table143[Dec-25])</f>
        <v>8970.67</v>
      </c>
      <c r="O23">
        <f>SUMIF(Table143[Type],"Income",Table143[Jan-26])-SUMIF(Table143[Type],"Expense",Table143[Jan-26])</f>
        <v>7989.3600000000006</v>
      </c>
      <c r="P23">
        <f>SUMIF(Table143[Type],"Income",Table143[Feb-26])-SUMIF(Table143[Type],"Expense",Table143[Feb-26])</f>
        <v>7006</v>
      </c>
      <c r="Q23">
        <f>SUMIF(Table143[Type],"Income",Table143[Mar-26])-SUMIF(Table143[Type],"Expense",Table143[Mar-26])</f>
        <v>6020.6</v>
      </c>
      <c r="R23">
        <f>SUMIF(Table143[Type],"Income",Table143[Apr-26])-SUMIF(Table143[Type],"Expense",Table143[Apr-26])</f>
        <v>5033.1399999999994</v>
      </c>
      <c r="S23">
        <f>SUMIF(Table143[Type],"Income",Table143[May-26])-SUMIF(Table143[Type],"Expense",Table143[May-26])</f>
        <v>4043.630000000001</v>
      </c>
      <c r="T23">
        <f>SUMIF(Table143[Type],"Income",Table143[Jun-26])-SUMIF(Table143[Type],"Expense",Table143[Jun-26])</f>
        <v>3052.05</v>
      </c>
      <c r="U23">
        <f>SUMIF(Table143[Type],"Income",Table143[Jul-26])-SUMIF(Table143[Type],"Expense",Table143[Jul-26])</f>
        <v>7058.41</v>
      </c>
      <c r="V23">
        <f>SUMIF(Table143[Type],"Income",Table143[Aug-26])-SUMIF(Table143[Type],"Expense",Table143[Aug-26])</f>
        <v>11073.119999999999</v>
      </c>
      <c r="W23">
        <f>SUMIF(Table143[Type],"Income",Table143[Sep-26])-SUMIF(Table143[Type],"Expense",Table143[Sep-26])</f>
        <v>15096.19</v>
      </c>
      <c r="X23">
        <f>SUMIF(Table143[Type],"Income",Table143[Oct-26])-SUMIF(Table143[Type],"Expense",Table143[Oct-26])</f>
        <v>19127.64</v>
      </c>
      <c r="Y23">
        <f>SUMIF(Table143[Type],"Income",Table143[Nov-26])-SUMIF(Table143[Type],"Expense",Table143[Nov-26])</f>
        <v>23167.49</v>
      </c>
      <c r="Z23">
        <f>SUMIF(Table143[Type],"Income",Table143[Dec-26])-SUMIF(Table143[Type],"Expense",Table143[Dec-26])</f>
        <v>27215.759999999998</v>
      </c>
    </row>
    <row r="24" spans="1:26" s="1" customFormat="1" x14ac:dyDescent="0.2">
      <c r="A24" s="1" t="s">
        <v>50</v>
      </c>
      <c r="C24" s="1">
        <f>ROUND(Table143[[#Totals],[Jan-25]]*$B$3,2)</f>
        <v>1703.54</v>
      </c>
      <c r="D24" s="1">
        <f>ROUND(Table143[[#Totals],[Feb-25]]*$B$3,2)</f>
        <v>5715.42</v>
      </c>
      <c r="E24" s="1">
        <f>ROUND(Table143[[#Totals],[Mar-25]]*$B$3,2)</f>
        <v>9735.66</v>
      </c>
      <c r="F24" s="1">
        <f>ROUND(Table143[[#Totals],[Apr-25]]*$B$3,2)</f>
        <v>13764.28</v>
      </c>
      <c r="G24" s="1">
        <f>ROUND(Table143[[#Totals],[May-25]]*$B$3,2)</f>
        <v>17801.29</v>
      </c>
      <c r="H24" s="1">
        <f>ROUND(Table143[[#Totals],[Jun-25]]*$B$3,2)</f>
        <v>21846.71</v>
      </c>
      <c r="I24" s="1">
        <f>ROUND(Table143[[#Totals],[Jul-25]]*$B$3,2)</f>
        <v>13875.56</v>
      </c>
      <c r="J24" s="1">
        <f>ROUND(Table143[[#Totals],[Aug-25]]*$B$3,2)</f>
        <v>12902.38</v>
      </c>
      <c r="K24" s="1">
        <f>ROUND(Table143[[#Totals],[Sep-25]]*$B$3,2)</f>
        <v>11927.18</v>
      </c>
      <c r="L24" s="1">
        <f>ROUND(Table143[[#Totals],[Oct-25]]*$B$3,2)</f>
        <v>10949.94</v>
      </c>
      <c r="M24" s="1">
        <f>ROUND(Table143[[#Totals],[Nov-25]]*$B$3,2)</f>
        <v>9970.67</v>
      </c>
      <c r="N24" s="1">
        <f>ROUND(Table143[[#Totals],[Dec-25]]*$B$3,2)</f>
        <v>8989.36</v>
      </c>
      <c r="O24" s="1">
        <f>ROUND(Table143[[#Totals],[Jan-26]]*$B$3,2)</f>
        <v>8006</v>
      </c>
      <c r="P24" s="1">
        <f>ROUND(Table143[[#Totals],[Feb-26]]*$B$3,2)</f>
        <v>7020.6</v>
      </c>
      <c r="Q24" s="1">
        <f>ROUND(Table143[[#Totals],[Mar-26]]*$B$3,2)</f>
        <v>6033.14</v>
      </c>
      <c r="R24" s="1">
        <f>ROUND(Table143[[#Totals],[Apr-26]]*$B$3,2)</f>
        <v>5043.63</v>
      </c>
      <c r="S24" s="1">
        <f>ROUND(Table143[[#Totals],[May-26]]*$B$3,2)</f>
        <v>4052.05</v>
      </c>
      <c r="T24" s="1">
        <f>ROUND(Table143[[#Totals],[Jun-26]]*$B$3,2)</f>
        <v>3058.41</v>
      </c>
      <c r="U24" s="1">
        <f>ROUND(Table143[[#Totals],[Jul-26]]*$B$3,2)</f>
        <v>7073.12</v>
      </c>
      <c r="V24" s="1">
        <f>ROUND(Table143[[#Totals],[Aug-26]]*$B$3,2)</f>
        <v>11096.19</v>
      </c>
      <c r="W24" s="1">
        <f>ROUND(Table143[[#Totals],[Sep-26]]*$B$3,2)</f>
        <v>15127.64</v>
      </c>
      <c r="X24" s="1">
        <f>ROUND(Table143[[#Totals],[Oct-26]]*$B$3,2)</f>
        <v>19167.490000000002</v>
      </c>
      <c r="Y24" s="1">
        <f>ROUND(Table143[[#Totals],[Nov-26]]*$B$3,2)</f>
        <v>23215.759999999998</v>
      </c>
      <c r="Z24" s="1">
        <f>ROUND(Table143[[#Totals],[Dec-26]]*$B$3,2)</f>
        <v>27272.46</v>
      </c>
    </row>
    <row r="26" spans="1:26" x14ac:dyDescent="0.2">
      <c r="E26" t="s">
        <v>64</v>
      </c>
    </row>
  </sheetData>
  <conditionalFormatting sqref="A23:XFD24">
    <cfRule type="cellIs" dxfId="65" priority="1" operator="lessThan">
      <formula>0</formula>
    </cfRule>
    <cfRule type="cellIs" dxfId="64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7FA7-03EF-D349-9E43-C752CAA64204}">
  <dimension ref="A1:BJ52"/>
  <sheetViews>
    <sheetView tabSelected="1" zoomScale="113" zoomScaleNormal="180" workbookViewId="0">
      <selection activeCell="X38" sqref="X38"/>
    </sheetView>
  </sheetViews>
  <sheetFormatPr baseColWidth="10" defaultRowHeight="16" x14ac:dyDescent="0.2"/>
  <cols>
    <col min="1" max="1" width="16.33203125" customWidth="1"/>
    <col min="2" max="2" width="19" bestFit="1" customWidth="1"/>
    <col min="3" max="3" width="9" hidden="1" customWidth="1"/>
    <col min="4" max="4" width="9.33203125" hidden="1" customWidth="1"/>
    <col min="5" max="5" width="7" hidden="1" customWidth="1"/>
    <col min="6" max="6" width="9.1640625" hidden="1" customWidth="1"/>
    <col min="7" max="7" width="9.6640625" hidden="1" customWidth="1"/>
    <col min="8" max="9" width="9.1640625" hidden="1" customWidth="1"/>
    <col min="10" max="10" width="9.5" hidden="1" customWidth="1"/>
    <col min="11" max="12" width="9.33203125" hidden="1" customWidth="1"/>
    <col min="13" max="13" width="9.5" bestFit="1" customWidth="1"/>
    <col min="14" max="14" width="9.6640625" bestFit="1" customWidth="1"/>
    <col min="15" max="15" width="9.1640625" bestFit="1" customWidth="1"/>
    <col min="16" max="16" width="9.33203125" bestFit="1" customWidth="1"/>
    <col min="17" max="17" width="9.5" bestFit="1" customWidth="1"/>
    <col min="18" max="18" width="9.1640625" bestFit="1" customWidth="1"/>
    <col min="19" max="19" width="9.6640625" bestFit="1" customWidth="1"/>
    <col min="20" max="20" width="9" bestFit="1" customWidth="1"/>
    <col min="21" max="21" width="8.5" bestFit="1" customWidth="1"/>
    <col min="22" max="22" width="9.5" bestFit="1" customWidth="1"/>
    <col min="23" max="24" width="9.33203125" bestFit="1" customWidth="1"/>
    <col min="25" max="25" width="9.5" bestFit="1" customWidth="1"/>
    <col min="26" max="26" width="9.6640625" bestFit="1" customWidth="1"/>
    <col min="27" max="27" width="9" bestFit="1" customWidth="1"/>
    <col min="28" max="28" width="9.33203125" bestFit="1" customWidth="1"/>
    <col min="29" max="29" width="9.5" bestFit="1" customWidth="1"/>
    <col min="30" max="30" width="9.1640625" bestFit="1" customWidth="1"/>
    <col min="31" max="31" width="9.6640625" bestFit="1" customWidth="1"/>
    <col min="32" max="33" width="9.1640625" bestFit="1" customWidth="1"/>
    <col min="34" max="34" width="9.5" bestFit="1" customWidth="1"/>
    <col min="35" max="36" width="9.33203125" bestFit="1" customWidth="1"/>
    <col min="37" max="37" width="9.5" bestFit="1" customWidth="1"/>
    <col min="38" max="38" width="9.6640625" bestFit="1" customWidth="1"/>
  </cols>
  <sheetData>
    <row r="1" spans="1:62" x14ac:dyDescent="0.2">
      <c r="A1" s="1" t="s">
        <v>54</v>
      </c>
      <c r="B1" s="1" t="s">
        <v>55</v>
      </c>
      <c r="C1" s="1"/>
    </row>
    <row r="2" spans="1:62" s="9" customFormat="1" ht="17" x14ac:dyDescent="0.2">
      <c r="A2" s="9" t="s">
        <v>48</v>
      </c>
      <c r="B2" s="9">
        <v>2.5000000000000001E-2</v>
      </c>
    </row>
    <row r="3" spans="1:62" s="9" customFormat="1" ht="17" x14ac:dyDescent="0.2">
      <c r="A3" s="9" t="s">
        <v>49</v>
      </c>
      <c r="B3" s="9">
        <f>1+ B2/12</f>
        <v>1.0020833333333334</v>
      </c>
    </row>
    <row r="4" spans="1:62" s="9" customFormat="1" ht="34" x14ac:dyDescent="0.2">
      <c r="A4" s="9" t="s">
        <v>158</v>
      </c>
      <c r="B4" s="9">
        <v>30000</v>
      </c>
    </row>
    <row r="5" spans="1:62" s="9" customFormat="1" ht="17" x14ac:dyDescent="0.2">
      <c r="A5" s="9" t="s">
        <v>65</v>
      </c>
      <c r="B5" s="9">
        <v>5000</v>
      </c>
    </row>
    <row r="6" spans="1:62" s="9" customFormat="1" ht="17" x14ac:dyDescent="0.2">
      <c r="A6" s="9" t="s">
        <v>66</v>
      </c>
      <c r="B6" s="9">
        <v>2000</v>
      </c>
    </row>
    <row r="7" spans="1:62" s="9" customFormat="1" ht="17" x14ac:dyDescent="0.2">
      <c r="A7" s="9" t="s">
        <v>59</v>
      </c>
      <c r="B7" s="9">
        <f>B4-B5-B6</f>
        <v>23000</v>
      </c>
    </row>
    <row r="8" spans="1:62" s="9" customFormat="1" ht="34" x14ac:dyDescent="0.2">
      <c r="A8" s="9" t="s">
        <v>60</v>
      </c>
      <c r="B8" s="9">
        <v>10000</v>
      </c>
    </row>
    <row r="9" spans="1:62" s="9" customFormat="1" ht="34" x14ac:dyDescent="0.2">
      <c r="A9" s="9" t="s">
        <v>61</v>
      </c>
      <c r="B9" s="9">
        <v>5000</v>
      </c>
    </row>
    <row r="10" spans="1:62" s="9" customFormat="1" ht="34" x14ac:dyDescent="0.2">
      <c r="A10" s="9" t="s">
        <v>62</v>
      </c>
      <c r="B10" s="9">
        <v>0</v>
      </c>
    </row>
    <row r="12" spans="1:62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  <c r="AA12" s="2" t="s">
        <v>67</v>
      </c>
      <c r="AB12" s="2" t="s">
        <v>68</v>
      </c>
      <c r="AC12" s="2" t="s">
        <v>69</v>
      </c>
      <c r="AD12" s="2" t="s">
        <v>70</v>
      </c>
      <c r="AE12" s="2" t="s">
        <v>71</v>
      </c>
      <c r="AF12" s="2" t="s">
        <v>72</v>
      </c>
      <c r="AG12" s="2" t="s">
        <v>73</v>
      </c>
      <c r="AH12" s="2" t="s">
        <v>74</v>
      </c>
      <c r="AI12" s="2" t="s">
        <v>75</v>
      </c>
      <c r="AJ12" s="2" t="s">
        <v>76</v>
      </c>
      <c r="AK12" s="2" t="s">
        <v>77</v>
      </c>
      <c r="AL12" s="2" t="s">
        <v>78</v>
      </c>
      <c r="AM12" s="2" t="s">
        <v>89</v>
      </c>
      <c r="AN12" s="2" t="s">
        <v>90</v>
      </c>
      <c r="AO12" s="2" t="s">
        <v>91</v>
      </c>
      <c r="AP12" s="2" t="s">
        <v>92</v>
      </c>
      <c r="AQ12" s="2" t="s">
        <v>93</v>
      </c>
      <c r="AR12" s="2" t="s">
        <v>94</v>
      </c>
      <c r="AS12" s="2" t="s">
        <v>95</v>
      </c>
      <c r="AT12" s="2" t="s">
        <v>96</v>
      </c>
      <c r="AU12" s="2" t="s">
        <v>97</v>
      </c>
      <c r="AV12" s="2" t="s">
        <v>83</v>
      </c>
      <c r="AW12" s="2" t="s">
        <v>84</v>
      </c>
      <c r="AX12" s="2" t="s">
        <v>85</v>
      </c>
      <c r="AY12" s="2" t="s">
        <v>98</v>
      </c>
      <c r="AZ12" s="2" t="s">
        <v>99</v>
      </c>
      <c r="BA12" s="2" t="s">
        <v>100</v>
      </c>
      <c r="BB12" s="2" t="s">
        <v>101</v>
      </c>
      <c r="BC12" s="2" t="s">
        <v>102</v>
      </c>
      <c r="BD12" s="2" t="s">
        <v>103</v>
      </c>
      <c r="BE12" s="2" t="s">
        <v>104</v>
      </c>
      <c r="BF12" s="2" t="s">
        <v>105</v>
      </c>
      <c r="BG12" s="2" t="s">
        <v>106</v>
      </c>
      <c r="BH12" s="2" t="s">
        <v>86</v>
      </c>
      <c r="BI12" s="2" t="s">
        <v>87</v>
      </c>
      <c r="BJ12" s="2" t="s">
        <v>88</v>
      </c>
    </row>
    <row r="13" spans="1:62" s="20" customFormat="1" x14ac:dyDescent="0.2">
      <c r="A13" s="18" t="s">
        <v>2</v>
      </c>
      <c r="B13" s="18" t="s">
        <v>4</v>
      </c>
      <c r="C13" s="19"/>
      <c r="D13" s="19">
        <v>4000</v>
      </c>
      <c r="E13" s="18">
        <v>4000</v>
      </c>
      <c r="F13" s="18">
        <v>4000</v>
      </c>
      <c r="G13" s="18">
        <v>5000</v>
      </c>
      <c r="H13" s="18">
        <f>$B$9</f>
        <v>5000</v>
      </c>
      <c r="I13" s="23">
        <f t="shared" ref="I13:BJ13" si="0">$B$9</f>
        <v>5000</v>
      </c>
      <c r="J13" s="18"/>
      <c r="K13" s="18">
        <v>10000</v>
      </c>
      <c r="L13" s="18">
        <f t="shared" si="0"/>
        <v>5000</v>
      </c>
      <c r="M13" s="18">
        <v>0</v>
      </c>
      <c r="N13" s="18">
        <f t="shared" si="0"/>
        <v>5000</v>
      </c>
      <c r="O13" s="18">
        <f t="shared" si="0"/>
        <v>5000</v>
      </c>
      <c r="P13" s="18">
        <f t="shared" si="0"/>
        <v>5000</v>
      </c>
      <c r="Q13" s="18">
        <f t="shared" si="0"/>
        <v>5000</v>
      </c>
      <c r="R13" s="18">
        <f t="shared" si="0"/>
        <v>5000</v>
      </c>
      <c r="S13" s="18">
        <f t="shared" si="0"/>
        <v>5000</v>
      </c>
      <c r="T13" s="18">
        <f t="shared" si="0"/>
        <v>5000</v>
      </c>
      <c r="U13" s="18">
        <f t="shared" si="0"/>
        <v>5000</v>
      </c>
      <c r="V13" s="18">
        <f t="shared" si="0"/>
        <v>5000</v>
      </c>
      <c r="W13" s="18">
        <f t="shared" si="0"/>
        <v>5000</v>
      </c>
      <c r="X13" s="18">
        <f t="shared" si="0"/>
        <v>5000</v>
      </c>
      <c r="Y13" s="18">
        <f t="shared" si="0"/>
        <v>5000</v>
      </c>
      <c r="Z13" s="18">
        <f t="shared" si="0"/>
        <v>5000</v>
      </c>
      <c r="AA13" s="18">
        <f t="shared" si="0"/>
        <v>5000</v>
      </c>
      <c r="AB13" s="18">
        <f t="shared" si="0"/>
        <v>5000</v>
      </c>
      <c r="AC13" s="18">
        <f t="shared" si="0"/>
        <v>5000</v>
      </c>
      <c r="AD13" s="18">
        <f t="shared" si="0"/>
        <v>5000</v>
      </c>
      <c r="AE13" s="18">
        <f t="shared" si="0"/>
        <v>5000</v>
      </c>
      <c r="AF13" s="18">
        <f t="shared" si="0"/>
        <v>5000</v>
      </c>
      <c r="AG13" s="18">
        <f t="shared" si="0"/>
        <v>5000</v>
      </c>
      <c r="AH13" s="18">
        <f t="shared" si="0"/>
        <v>5000</v>
      </c>
      <c r="AI13" s="18">
        <f t="shared" si="0"/>
        <v>5000</v>
      </c>
      <c r="AJ13" s="18">
        <f t="shared" si="0"/>
        <v>5000</v>
      </c>
      <c r="AK13" s="18">
        <f t="shared" si="0"/>
        <v>5000</v>
      </c>
      <c r="AL13" s="18">
        <f t="shared" si="0"/>
        <v>5000</v>
      </c>
      <c r="AM13" s="18">
        <v>5300</v>
      </c>
      <c r="AN13" s="18">
        <v>5300</v>
      </c>
      <c r="AO13" s="18">
        <v>5300</v>
      </c>
      <c r="AP13" s="18">
        <v>5300</v>
      </c>
      <c r="AQ13" s="18">
        <v>5300</v>
      </c>
      <c r="AR13" s="18">
        <v>5300</v>
      </c>
      <c r="AS13" s="18">
        <v>5300</v>
      </c>
      <c r="AT13" s="18">
        <v>5300</v>
      </c>
      <c r="AU13" s="18">
        <v>5300</v>
      </c>
      <c r="AV13" s="18">
        <v>5300</v>
      </c>
      <c r="AW13" s="18">
        <v>5300</v>
      </c>
      <c r="AX13" s="18">
        <v>5300</v>
      </c>
      <c r="AY13" s="18">
        <v>5300</v>
      </c>
      <c r="AZ13" s="18">
        <v>5300</v>
      </c>
      <c r="BA13" s="18">
        <v>5300</v>
      </c>
      <c r="BB13" s="18">
        <v>5300</v>
      </c>
      <c r="BC13" s="18">
        <v>5300</v>
      </c>
      <c r="BD13" s="18">
        <v>5300</v>
      </c>
      <c r="BE13" s="18">
        <v>5300</v>
      </c>
      <c r="BF13" s="18">
        <v>5300</v>
      </c>
      <c r="BG13" s="18">
        <v>5300</v>
      </c>
      <c r="BH13" s="18">
        <v>5300</v>
      </c>
      <c r="BI13" s="18">
        <v>5300</v>
      </c>
      <c r="BJ13" s="18">
        <v>5300</v>
      </c>
    </row>
    <row r="14" spans="1:62" s="20" customFormat="1" x14ac:dyDescent="0.2">
      <c r="A14" s="18" t="s">
        <v>2</v>
      </c>
      <c r="B14" s="18" t="s">
        <v>5</v>
      </c>
      <c r="C14" s="18"/>
      <c r="D14" s="18"/>
      <c r="E14" s="18"/>
      <c r="F14" s="18">
        <f t="shared" ref="F14:BJ14" si="1">$B$10</f>
        <v>0</v>
      </c>
      <c r="G14" s="18">
        <v>1500</v>
      </c>
      <c r="H14" s="18">
        <f t="shared" si="1"/>
        <v>0</v>
      </c>
      <c r="I14" s="23">
        <v>500</v>
      </c>
      <c r="J14" s="18">
        <f>$B$10</f>
        <v>0</v>
      </c>
      <c r="K14" s="18">
        <f t="shared" si="1"/>
        <v>0</v>
      </c>
      <c r="L14" s="18">
        <f t="shared" si="1"/>
        <v>0</v>
      </c>
      <c r="M14" s="18">
        <f t="shared" si="1"/>
        <v>0</v>
      </c>
      <c r="N14" s="18">
        <f t="shared" si="1"/>
        <v>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f t="shared" si="1"/>
        <v>0</v>
      </c>
      <c r="AB14" s="18">
        <f t="shared" si="1"/>
        <v>0</v>
      </c>
      <c r="AC14" s="18">
        <f t="shared" si="1"/>
        <v>0</v>
      </c>
      <c r="AD14" s="18">
        <f t="shared" si="1"/>
        <v>0</v>
      </c>
      <c r="AE14" s="18">
        <f t="shared" si="1"/>
        <v>0</v>
      </c>
      <c r="AF14" s="18">
        <f t="shared" si="1"/>
        <v>0</v>
      </c>
      <c r="AG14" s="18">
        <f t="shared" si="1"/>
        <v>0</v>
      </c>
      <c r="AH14" s="18">
        <f t="shared" si="1"/>
        <v>0</v>
      </c>
      <c r="AI14" s="18">
        <f t="shared" si="1"/>
        <v>0</v>
      </c>
      <c r="AJ14" s="18">
        <f t="shared" si="1"/>
        <v>0</v>
      </c>
      <c r="AK14" s="18">
        <f t="shared" si="1"/>
        <v>0</v>
      </c>
      <c r="AL14" s="18">
        <f t="shared" si="1"/>
        <v>0</v>
      </c>
      <c r="AM14" s="18">
        <f t="shared" si="1"/>
        <v>0</v>
      </c>
      <c r="AN14" s="18">
        <f t="shared" si="1"/>
        <v>0</v>
      </c>
      <c r="AO14" s="18">
        <f t="shared" si="1"/>
        <v>0</v>
      </c>
      <c r="AP14" s="18">
        <f t="shared" si="1"/>
        <v>0</v>
      </c>
      <c r="AQ14" s="18">
        <f t="shared" si="1"/>
        <v>0</v>
      </c>
      <c r="AR14" s="18">
        <f t="shared" si="1"/>
        <v>0</v>
      </c>
      <c r="AS14" s="18">
        <f t="shared" si="1"/>
        <v>0</v>
      </c>
      <c r="AT14" s="18">
        <f t="shared" si="1"/>
        <v>0</v>
      </c>
      <c r="AU14" s="18">
        <f t="shared" si="1"/>
        <v>0</v>
      </c>
      <c r="AV14" s="18">
        <f t="shared" si="1"/>
        <v>0</v>
      </c>
      <c r="AW14" s="18">
        <f t="shared" si="1"/>
        <v>0</v>
      </c>
      <c r="AX14" s="18">
        <f t="shared" si="1"/>
        <v>0</v>
      </c>
      <c r="AY14" s="18">
        <f t="shared" si="1"/>
        <v>0</v>
      </c>
      <c r="AZ14" s="18">
        <f t="shared" si="1"/>
        <v>0</v>
      </c>
      <c r="BA14" s="18">
        <f t="shared" si="1"/>
        <v>0</v>
      </c>
      <c r="BB14" s="18">
        <f t="shared" si="1"/>
        <v>0</v>
      </c>
      <c r="BC14" s="18">
        <f t="shared" si="1"/>
        <v>0</v>
      </c>
      <c r="BD14" s="18">
        <f t="shared" si="1"/>
        <v>0</v>
      </c>
      <c r="BE14" s="18">
        <f t="shared" si="1"/>
        <v>0</v>
      </c>
      <c r="BF14" s="18">
        <f t="shared" si="1"/>
        <v>0</v>
      </c>
      <c r="BG14" s="18">
        <f t="shared" si="1"/>
        <v>0</v>
      </c>
      <c r="BH14" s="18">
        <f t="shared" si="1"/>
        <v>0</v>
      </c>
      <c r="BI14" s="18">
        <f t="shared" si="1"/>
        <v>0</v>
      </c>
      <c r="BJ14" s="18">
        <f t="shared" si="1"/>
        <v>0</v>
      </c>
    </row>
    <row r="15" spans="1:62" s="20" customFormat="1" x14ac:dyDescent="0.2">
      <c r="A15" s="18" t="s">
        <v>2</v>
      </c>
      <c r="B15" s="18" t="s">
        <v>52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</row>
    <row r="16" spans="1:62" s="20" customFormat="1" x14ac:dyDescent="0.2">
      <c r="A16" s="18" t="s">
        <v>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</row>
    <row r="17" spans="1:62" s="20" customFormat="1" x14ac:dyDescent="0.2">
      <c r="A17" s="18" t="s">
        <v>2</v>
      </c>
      <c r="B17" s="18" t="s">
        <v>19</v>
      </c>
      <c r="C17" s="18">
        <v>1700</v>
      </c>
      <c r="D17" s="18">
        <f>C24</f>
        <v>1703.54</v>
      </c>
      <c r="E17" s="18">
        <f t="shared" ref="E17:AL17" si="2">D24</f>
        <v>5715.42</v>
      </c>
      <c r="F17" s="18">
        <f t="shared" si="2"/>
        <v>9735.66</v>
      </c>
      <c r="G17" s="18">
        <v>15267.4</v>
      </c>
      <c r="H17" s="18">
        <f>G24</f>
        <v>21812.75</v>
      </c>
      <c r="I17" s="18">
        <v>21881.95</v>
      </c>
      <c r="J17" s="18">
        <f t="shared" si="2"/>
        <v>23420.639999999999</v>
      </c>
      <c r="K17" s="18">
        <v>18548</v>
      </c>
      <c r="L17" s="18">
        <f t="shared" si="2"/>
        <v>24589.119999999999</v>
      </c>
      <c r="M17" s="18">
        <v>21404.39</v>
      </c>
      <c r="N17" s="18">
        <f t="shared" si="2"/>
        <v>17941.689999999999</v>
      </c>
      <c r="O17" s="18">
        <f t="shared" si="2"/>
        <v>18971.13</v>
      </c>
      <c r="P17" s="18">
        <f>O24</f>
        <v>12497.11</v>
      </c>
      <c r="Q17" s="18">
        <f t="shared" si="2"/>
        <v>13024.19</v>
      </c>
      <c r="R17" s="18">
        <f t="shared" si="2"/>
        <v>13552.37</v>
      </c>
      <c r="S17" s="18">
        <f t="shared" si="2"/>
        <v>14081.65</v>
      </c>
      <c r="T17" s="18">
        <f t="shared" si="2"/>
        <v>14612.03</v>
      </c>
      <c r="U17" s="18">
        <f t="shared" si="2"/>
        <v>15143.51</v>
      </c>
      <c r="V17" s="18">
        <f t="shared" si="2"/>
        <v>8661.52</v>
      </c>
      <c r="W17" s="18">
        <f t="shared" si="2"/>
        <v>9180.61</v>
      </c>
      <c r="X17" s="18">
        <f t="shared" si="2"/>
        <v>9700.7800000000007</v>
      </c>
      <c r="Y17" s="18">
        <f t="shared" si="2"/>
        <v>10222.030000000001</v>
      </c>
      <c r="Z17" s="18">
        <f t="shared" si="2"/>
        <v>10744.37</v>
      </c>
      <c r="AA17" s="18">
        <f t="shared" si="2"/>
        <v>11267.8</v>
      </c>
      <c r="AB17" s="18">
        <f t="shared" si="2"/>
        <v>11291.27</v>
      </c>
      <c r="AC17" s="18">
        <f t="shared" si="2"/>
        <v>11314.79</v>
      </c>
      <c r="AD17" s="18">
        <f t="shared" si="2"/>
        <v>11338.36</v>
      </c>
      <c r="AE17" s="18">
        <f t="shared" si="2"/>
        <v>11361.98</v>
      </c>
      <c r="AF17" s="18">
        <f t="shared" si="2"/>
        <v>11385.65</v>
      </c>
      <c r="AG17" s="18">
        <f t="shared" si="2"/>
        <v>11409.37</v>
      </c>
      <c r="AH17" s="18">
        <f t="shared" si="2"/>
        <v>4418.5600000000004</v>
      </c>
      <c r="AI17" s="18">
        <f t="shared" si="2"/>
        <v>4427.7700000000004</v>
      </c>
      <c r="AJ17" s="18">
        <f t="shared" si="2"/>
        <v>4436.99</v>
      </c>
      <c r="AK17" s="18">
        <f t="shared" si="2"/>
        <v>4446.2299999999996</v>
      </c>
      <c r="AL17" s="18">
        <f t="shared" si="2"/>
        <v>4455.49</v>
      </c>
      <c r="AM17" s="18">
        <f t="shared" ref="AM17" si="3">AL24</f>
        <v>4464.7700000000004</v>
      </c>
      <c r="AN17" s="18">
        <f t="shared" ref="AN17" si="4">AM24</f>
        <v>4774.7</v>
      </c>
      <c r="AO17" s="18">
        <f t="shared" ref="AO17" si="5">AN24</f>
        <v>5085.2700000000004</v>
      </c>
      <c r="AP17" s="18">
        <f t="shared" ref="AP17" si="6">AO24</f>
        <v>5396.49</v>
      </c>
      <c r="AQ17" s="18">
        <f t="shared" ref="AQ17" si="7">AP24</f>
        <v>5708.36</v>
      </c>
      <c r="AR17" s="18">
        <f t="shared" ref="AR17" si="8">AQ24</f>
        <v>6020.88</v>
      </c>
      <c r="AS17" s="18">
        <f t="shared" ref="AS17" si="9">AR24</f>
        <v>6334.05</v>
      </c>
      <c r="AT17" s="18">
        <f t="shared" ref="AT17" si="10">AS24</f>
        <v>-366.71</v>
      </c>
      <c r="AU17" s="18">
        <f t="shared" ref="AU17" si="11">AT24</f>
        <v>-66.849999999999994</v>
      </c>
      <c r="AV17" s="18">
        <f t="shared" ref="AV17" si="12">AU24</f>
        <v>233.64</v>
      </c>
      <c r="AW17" s="18">
        <f t="shared" ref="AW17" si="13">AV24</f>
        <v>534.75</v>
      </c>
      <c r="AX17" s="18">
        <f t="shared" ref="AX17" si="14">AW24</f>
        <v>836.49</v>
      </c>
      <c r="AY17" s="18">
        <f t="shared" ref="AY17" si="15">AX24</f>
        <v>1138.8599999999999</v>
      </c>
      <c r="AZ17" s="18">
        <f t="shared" ref="AZ17" si="16">AY24</f>
        <v>1441.86</v>
      </c>
      <c r="BA17" s="18">
        <f t="shared" ref="BA17" si="17">AZ24</f>
        <v>1745.49</v>
      </c>
      <c r="BB17" s="18">
        <f t="shared" ref="BB17" si="18">BA24</f>
        <v>2049.75</v>
      </c>
      <c r="BC17" s="18">
        <f t="shared" ref="BC17" si="19">BB24</f>
        <v>2354.65</v>
      </c>
      <c r="BD17" s="18">
        <f t="shared" ref="BD17" si="20">BC24</f>
        <v>2660.18</v>
      </c>
      <c r="BE17" s="18">
        <f t="shared" ref="BE17" si="21">BD24</f>
        <v>2966.35</v>
      </c>
      <c r="BF17" s="18">
        <f t="shared" ref="BF17" si="22">BE24</f>
        <v>3273.15</v>
      </c>
      <c r="BG17" s="18">
        <f t="shared" ref="BG17" si="23">BF24</f>
        <v>3580.59</v>
      </c>
      <c r="BH17" s="18">
        <f t="shared" ref="BH17" si="24">BG24</f>
        <v>3888.67</v>
      </c>
      <c r="BI17" s="18">
        <f t="shared" ref="BI17" si="25">BH24</f>
        <v>4197.3999999999996</v>
      </c>
      <c r="BJ17" s="18">
        <f t="shared" ref="BJ17" si="26">BI24</f>
        <v>4506.7700000000004</v>
      </c>
    </row>
    <row r="18" spans="1:62" s="13" customFormat="1" x14ac:dyDescent="0.2">
      <c r="A18" s="11" t="s">
        <v>0</v>
      </c>
      <c r="B18" s="11" t="s">
        <v>81</v>
      </c>
      <c r="C18" s="11"/>
      <c r="D18" s="11"/>
      <c r="E18" s="11"/>
      <c r="F18" s="11"/>
      <c r="G18" s="11"/>
      <c r="H18" s="22">
        <v>5000</v>
      </c>
      <c r="I18" s="11"/>
      <c r="J18" s="11"/>
      <c r="K18" s="11"/>
      <c r="L18" s="11"/>
      <c r="M18" s="11"/>
      <c r="N18" s="11"/>
      <c r="O18" s="11">
        <v>7000</v>
      </c>
      <c r="P18" s="11"/>
      <c r="Q18" s="11"/>
      <c r="R18" s="11"/>
      <c r="S18" s="11"/>
      <c r="T18" s="11"/>
      <c r="U18" s="11">
        <f>$B$5+$B$6</f>
        <v>7000</v>
      </c>
      <c r="V18" s="11"/>
      <c r="W18" s="11"/>
      <c r="X18" s="11"/>
      <c r="Y18" s="11"/>
      <c r="Z18" s="11"/>
      <c r="AA18" s="12"/>
      <c r="AB18" s="11"/>
      <c r="AC18" s="11"/>
      <c r="AD18" s="11"/>
      <c r="AE18" s="11"/>
      <c r="AF18" s="11"/>
      <c r="AG18" s="11">
        <v>7000</v>
      </c>
      <c r="AH18" s="11"/>
      <c r="AI18" s="11"/>
      <c r="AJ18" s="11"/>
      <c r="AK18" s="11"/>
      <c r="AL18" s="11"/>
      <c r="AM18" s="12"/>
      <c r="AN18" s="12"/>
      <c r="AO18" s="12"/>
      <c r="AP18" s="12"/>
      <c r="AQ18" s="12"/>
      <c r="AR18" s="12"/>
      <c r="AS18" s="11">
        <v>7000</v>
      </c>
      <c r="AT18" s="11"/>
      <c r="AU18" s="11"/>
      <c r="AV18" s="11"/>
      <c r="AW18" s="1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 s="13" customFormat="1" x14ac:dyDescent="0.2">
      <c r="A19" s="11" t="s">
        <v>0</v>
      </c>
      <c r="B19" s="11" t="s">
        <v>82</v>
      </c>
      <c r="C19" s="11"/>
      <c r="D19" s="11"/>
      <c r="E19" s="11"/>
      <c r="F19" s="11"/>
      <c r="G19" s="11"/>
      <c r="H19" s="11"/>
      <c r="I19" s="22">
        <v>4010</v>
      </c>
      <c r="J19" s="11">
        <v>4010</v>
      </c>
      <c r="K19" s="11">
        <v>4010</v>
      </c>
      <c r="L19" s="11">
        <v>4010</v>
      </c>
      <c r="M19" s="11">
        <v>3500</v>
      </c>
      <c r="N19" s="11">
        <v>4010</v>
      </c>
      <c r="O19" s="11">
        <v>5000</v>
      </c>
      <c r="P19" s="11">
        <v>5000</v>
      </c>
      <c r="Q19" s="11">
        <v>5000</v>
      </c>
      <c r="R19" s="11">
        <v>5000</v>
      </c>
      <c r="S19" s="11">
        <v>5000</v>
      </c>
      <c r="T19" s="11">
        <v>5000</v>
      </c>
      <c r="U19" s="11">
        <v>5000</v>
      </c>
      <c r="V19" s="11">
        <v>5000</v>
      </c>
      <c r="W19" s="11">
        <v>5000</v>
      </c>
      <c r="X19" s="11">
        <v>5000</v>
      </c>
      <c r="Y19" s="11">
        <v>5000</v>
      </c>
      <c r="Z19" s="11">
        <v>5000</v>
      </c>
      <c r="AA19" s="11">
        <v>5000</v>
      </c>
      <c r="AB19" s="11">
        <v>5000</v>
      </c>
      <c r="AC19" s="11">
        <v>5000</v>
      </c>
      <c r="AD19" s="11">
        <v>5000</v>
      </c>
      <c r="AE19" s="11">
        <v>5000</v>
      </c>
      <c r="AF19" s="11">
        <v>5000</v>
      </c>
      <c r="AG19" s="11">
        <v>5000</v>
      </c>
      <c r="AH19" s="11">
        <v>5000</v>
      </c>
      <c r="AI19" s="11">
        <v>5000</v>
      </c>
      <c r="AJ19" s="11">
        <v>5000</v>
      </c>
      <c r="AK19" s="11">
        <v>5000</v>
      </c>
      <c r="AL19" s="11">
        <v>5000</v>
      </c>
      <c r="AM19" s="11">
        <v>5000</v>
      </c>
      <c r="AN19" s="11">
        <v>5000</v>
      </c>
      <c r="AO19" s="11">
        <v>5000</v>
      </c>
      <c r="AP19" s="11">
        <v>5000</v>
      </c>
      <c r="AQ19" s="11">
        <v>5000</v>
      </c>
      <c r="AR19" s="11">
        <v>5000</v>
      </c>
      <c r="AS19" s="11">
        <v>5000</v>
      </c>
      <c r="AT19" s="11">
        <v>5000</v>
      </c>
      <c r="AU19" s="11">
        <v>5000</v>
      </c>
      <c r="AV19" s="11">
        <v>5000</v>
      </c>
      <c r="AW19" s="11">
        <v>5000</v>
      </c>
      <c r="AX19" s="11">
        <v>5000</v>
      </c>
      <c r="AY19" s="11">
        <v>5000</v>
      </c>
      <c r="AZ19" s="11">
        <v>5000</v>
      </c>
      <c r="BA19" s="11">
        <v>5000</v>
      </c>
      <c r="BB19" s="11">
        <v>5000</v>
      </c>
      <c r="BC19" s="11">
        <v>5000</v>
      </c>
      <c r="BD19" s="11">
        <v>5000</v>
      </c>
      <c r="BE19" s="11">
        <v>5000</v>
      </c>
      <c r="BF19" s="11">
        <v>5000</v>
      </c>
      <c r="BG19" s="11">
        <v>5000</v>
      </c>
      <c r="BH19" s="11">
        <v>5000</v>
      </c>
      <c r="BI19" s="11">
        <v>5000</v>
      </c>
      <c r="BJ19" s="11">
        <v>5000</v>
      </c>
    </row>
    <row r="20" spans="1:62" s="13" customFormat="1" x14ac:dyDescent="0.2">
      <c r="A20" s="11" t="s">
        <v>0</v>
      </c>
      <c r="B20" s="11" t="s">
        <v>51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 s="13" customFormat="1" x14ac:dyDescent="0.2">
      <c r="A21" s="11" t="s">
        <v>0</v>
      </c>
      <c r="B21" s="11" t="s">
        <v>53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 s="13" customFormat="1" x14ac:dyDescent="0.2">
      <c r="A22" s="16"/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1:62" x14ac:dyDescent="0.2">
      <c r="A23" t="s">
        <v>44</v>
      </c>
      <c r="C23">
        <f>(SUMIF(Table143911[Type],"Income",Table143911[Jan-25])-SUMIF(Table143911[Type],"Expense",Table143911[Jan-25]))</f>
        <v>1700</v>
      </c>
      <c r="D23">
        <f>SUMIF(Table143911[Type],"Income",Table143911[Feb-25])-SUMIF(Table143911[Type],"Expense",Table143911[Feb-25])</f>
        <v>5703.54</v>
      </c>
      <c r="E23">
        <f>SUMIF(Table143911[Type],"Income",Table143911[Mar-25])-SUMIF(Table143911[Type],"Expense",Table143911[Mar-25])</f>
        <v>9715.42</v>
      </c>
      <c r="F23">
        <f>SUMIF(Table143911[Type],"Income",Table143911[Apr-25])-SUMIF(Table143911[Type],"Expense",Table143911[Apr-25])</f>
        <v>13735.66</v>
      </c>
      <c r="G23">
        <f>SUMIF(Table143911[Type],"Income",Table143911[May-25])-SUMIF(Table143911[Type],"Expense",Table143911[May-25])</f>
        <v>21767.4</v>
      </c>
      <c r="H23">
        <f>SUMIF(Table143911[Type],"Income",Table143911[Jun-25])-SUMIF(Table143911[Type],"Expense",Table143911[Jun-25])</f>
        <v>21812.75</v>
      </c>
      <c r="I23">
        <f>SUMIF(Table143911[Type],"Income",Table143911[Jul-25])-SUMIF(Table143911[Type],"Expense",Table143911[Jul-25])</f>
        <v>23371.95</v>
      </c>
      <c r="J23">
        <f>SUMIF(Table143911[Type],"Income",Table143911[Aug-25])-SUMIF(Table143911[Type],"Expense",Table143911[Aug-25])</f>
        <v>19410.64</v>
      </c>
      <c r="K23">
        <f>SUMIF(Table143911[Type],"Income",Table143911[Sep-25])-SUMIF(Table143911[Type],"Expense",Table143911[Sep-25])</f>
        <v>24538</v>
      </c>
      <c r="L23">
        <f>SUMIF(Table143911[Type],"Income",Table143911[Oct-25])-SUMIF(Table143911[Type],"Expense",Table143911[Oct-25])</f>
        <v>25579.119999999999</v>
      </c>
      <c r="M23">
        <f>SUMIF(Table143911[Type],"Income",Table143911[Nov-25])-SUMIF(Table143911[Type],"Expense",Table143911[Nov-25])</f>
        <v>17904.39</v>
      </c>
      <c r="N23">
        <f>SUMIF(Table143911[Type],"Income",Table143911[Dec-25])-SUMIF(Table143911[Type],"Expense",Table143911[Dec-25])</f>
        <v>18931.689999999999</v>
      </c>
      <c r="O23">
        <f>SUMIF(Table143911[Type],"Income",Table143911[Jan-26])-SUMIF(Table143911[Type],"Expense",Table143911[Jan-26])</f>
        <v>12471.130000000001</v>
      </c>
      <c r="P23">
        <f>SUMIF(Table143911[Type],"Income",Table143911[Feb-26])-SUMIF(Table143911[Type],"Expense",Table143911[Feb-26])</f>
        <v>12997.11</v>
      </c>
      <c r="Q23">
        <f>SUMIF(Table143911[Type],"Income",Table143911[Mar-26])-SUMIF(Table143911[Type],"Expense",Table143911[Mar-26])</f>
        <v>13524.190000000002</v>
      </c>
      <c r="R23">
        <f>SUMIF(Table143911[Type],"Income",Table143911[Apr-26])-SUMIF(Table143911[Type],"Expense",Table143911[Apr-26])</f>
        <v>14052.370000000003</v>
      </c>
      <c r="S23">
        <f>SUMIF(Table143911[Type],"Income",Table143911[May-26])-SUMIF(Table143911[Type],"Expense",Table143911[May-26])</f>
        <v>14581.650000000001</v>
      </c>
      <c r="T23">
        <f>SUMIF(Table143911[Type],"Income",Table143911[Jun-26])-SUMIF(Table143911[Type],"Expense",Table143911[Jun-26])</f>
        <v>15112.029999999999</v>
      </c>
      <c r="U23">
        <f>SUMIF(Table143911[Type],"Income",Table143911[Jul-26])-SUMIF(Table143911[Type],"Expense",Table143911[Jul-26])</f>
        <v>8643.510000000002</v>
      </c>
      <c r="V23">
        <f>SUMIF(Table143911[Type],"Income",Table143911[Aug-26])-SUMIF(Table143911[Type],"Expense",Table143911[Aug-26])</f>
        <v>9161.52</v>
      </c>
      <c r="W23">
        <f>SUMIF(Table143911[Type],"Income",Table143911[Sep-26])-SUMIF(Table143911[Type],"Expense",Table143911[Sep-26])</f>
        <v>9680.61</v>
      </c>
      <c r="X23">
        <f>SUMIF(Table143911[Type],"Income",Table143911[Oct-26])-SUMIF(Table143911[Type],"Expense",Table143911[Oct-26])</f>
        <v>10200.780000000001</v>
      </c>
      <c r="Y23">
        <f>SUMIF(Table143911[Type],"Income",Table143911[Nov-26])-SUMIF(Table143911[Type],"Expense",Table143911[Nov-26])</f>
        <v>10722.03</v>
      </c>
      <c r="Z23">
        <f>SUMIF(Table143911[Type],"Income",Table143911[Dec-26])-SUMIF(Table143911[Type],"Expense",Table143911[Dec-26])</f>
        <v>11244.37</v>
      </c>
      <c r="AA23">
        <f>SUMIF(Table143911[Type],"Income",Table143911[Jan-27])-SUMIF(Table143911[Type],"Expense",Table143911[Jan-27])</f>
        <v>11267.8</v>
      </c>
      <c r="AB23">
        <f>SUMIF(Table143911[Type],"Income",Table143911[Feb-27])-SUMIF(Table143911[Type],"Expense",Table143911[Feb-27])</f>
        <v>11291.27</v>
      </c>
      <c r="AC23">
        <f>SUMIF(Table143911[Type],"Income",Table143911[Mar-27])-SUMIF(Table143911[Type],"Expense",Table143911[Mar-27])</f>
        <v>11314.79</v>
      </c>
      <c r="AD23">
        <f>SUMIF(Table143911[Type],"Income",Table143911[Apr-27])-SUMIF(Table143911[Type],"Expense",Table143911[Apr-27])</f>
        <v>11338.36</v>
      </c>
      <c r="AE23">
        <f>SUMIF(Table143911[Type],"Income",Table143911[May-27])-SUMIF(Table143911[Type],"Expense",Table143911[May-27])</f>
        <v>11361.98</v>
      </c>
      <c r="AF23">
        <f>SUMIF(Table143911[Type],"Income",Table143911[Jun-27])-SUMIF(Table143911[Type],"Expense",Table143911[Jun-27])</f>
        <v>11385.650000000001</v>
      </c>
      <c r="AG23">
        <f>SUMIF(Table143911[Type],"Income",Table143911[Jul-27])-SUMIF(Table143911[Type],"Expense",Table143911[Jul-27])</f>
        <v>4409.3700000000026</v>
      </c>
      <c r="AH23">
        <f>SUMIF(Table143911[Type],"Income",Table143911[Aug-27])-SUMIF(Table143911[Type],"Expense",Table143911[Aug-27])</f>
        <v>4418.5600000000013</v>
      </c>
      <c r="AI23">
        <f>SUMIF(Table143911[Type],"Income",Table143911[Sep-27])-SUMIF(Table143911[Type],"Expense",Table143911[Sep-27])</f>
        <v>4427.7700000000004</v>
      </c>
      <c r="AJ23">
        <f>SUMIF(Table143911[Type],"Income",Table143911[Oct-27])-SUMIF(Table143911[Type],"Expense",Table143911[Oct-27])</f>
        <v>4436.99</v>
      </c>
      <c r="AK23">
        <f>SUMIF(Table143911[Type],"Income",Table143911[Nov-27])-SUMIF(Table143911[Type],"Expense",Table143911[Nov-27])</f>
        <v>4446.2299999999996</v>
      </c>
      <c r="AL23">
        <f>SUMIF(Table143911[Type],"Income",Table143911[Dec-27])-SUMIF(Table143911[Type],"Expense",Table143911[Dec-27])</f>
        <v>4455.49</v>
      </c>
      <c r="AM23">
        <f>SUMIF(Table143911[Type], "Income",Table143911[Jan-28])-SUMIF(Table143911[Type], "Expense",Table143911[Jan-28])</f>
        <v>4764.7700000000004</v>
      </c>
      <c r="AN23">
        <f>SUMIF(Table143911[Type], "Income",Table143911[Feb-28])-SUMIF(Table143911[Type], "Expense",Table143911[Feb-28])</f>
        <v>5074.7000000000007</v>
      </c>
      <c r="AO23">
        <f>SUMIF(Table143911[Type], "Income",Table143911[Mar-28])-SUMIF(Table143911[Type], "Expense",Table143911[Mar-28])</f>
        <v>5385.27</v>
      </c>
      <c r="AP23">
        <f>SUMIF(Table143911[Type], "Income",Table143911[Apr-28])-SUMIF(Table143911[Type], "Expense",Table143911[Apr-28])</f>
        <v>5696.49</v>
      </c>
      <c r="AQ23">
        <f>SUMIF(Table143911[Type], "Income",Table143911[May-28])-SUMIF(Table143911[Type], "Expense",Table143911[May-28])</f>
        <v>6008.3600000000006</v>
      </c>
      <c r="AR23">
        <f>SUMIF(Table143911[Type], "Income",Table143911[Jun-28])-SUMIF(Table143911[Type], "Expense",Table143911[Jun-28])</f>
        <v>6320.880000000001</v>
      </c>
      <c r="AS23">
        <f>SUMIF(Table143911[Type], "Income",Table143911[Jul-28])-SUMIF(Table143911[Type], "Expense",Table143911[Jul-28])</f>
        <v>-365.95000000000073</v>
      </c>
      <c r="AT23">
        <f>SUMIF(Table143911[Type], "Income",Table143911[Aug-28])-SUMIF(Table143911[Type], "Expense",Table143911[Aug-28])</f>
        <v>-66.710000000000036</v>
      </c>
      <c r="AU23">
        <f>SUMIF(Table143911[Type], "Income",Table143911[Sep-28])-SUMIF(Table143911[Type], "Expense",Table143911[Sep-28])</f>
        <v>233.14999999999964</v>
      </c>
      <c r="AV23">
        <f>SUMIF(Table143911[Type], "Income",Table143911[Oct-28])-SUMIF(Table143911[Type], "Expense",Table143911[Oct-28])</f>
        <v>533.64000000000033</v>
      </c>
      <c r="AW23">
        <f>SUMIF(Table143911[Type], "Income",Table143911[Nov-28])-SUMIF(Table143911[Type], "Expense",Table143911[Nov-28])</f>
        <v>834.75</v>
      </c>
      <c r="AX23">
        <f>SUMIF(Table143911[Type], "Income",Table143911[Dec-28])-SUMIF(Table143911[Type], "Expense",Table143911[Dec-28])</f>
        <v>1136.4899999999998</v>
      </c>
      <c r="AY23">
        <f>SUMIF(Table143911[Type], "Income",Table143911[Jan-29])-SUMIF(Table143911[Type], "Expense",Table143911[Jan-29])</f>
        <v>1438.8599999999997</v>
      </c>
      <c r="AZ23">
        <f>SUMIF(Table143911[Type], "Income",Table143911[Feb-29])-SUMIF(Table143911[Type], "Expense",Table143911[Feb-29])</f>
        <v>1741.8599999999997</v>
      </c>
      <c r="BA23">
        <f>SUMIF(Table143911[Type], "Income",Table143911[Mar-29])-SUMIF(Table143911[Type], "Expense",Table143911[Mar-29])</f>
        <v>2045.4899999999998</v>
      </c>
      <c r="BB23">
        <f>SUMIF(Table143911[Type], "Income",Table143911[Apr-29])-SUMIF(Table143911[Type], "Expense",Table143911[Apr-29])</f>
        <v>2349.75</v>
      </c>
      <c r="BC23">
        <f>SUMIF(Table143911[Type], "Income",Table143911[May-29])-SUMIF(Table143911[Type], "Expense",Table143911[May-29])</f>
        <v>2654.6499999999996</v>
      </c>
      <c r="BD23">
        <f>SUMIF(Table143911[Type], "Income",Table143911[Jun-29])-SUMIF(Table143911[Type], "Expense",Table143911[Jun-29])</f>
        <v>2960.1800000000003</v>
      </c>
      <c r="BE23">
        <f>SUMIF(Table143911[Type], "Income",Table143911[Jul-29])-SUMIF(Table143911[Type], "Expense",Table143911[Jul-29])</f>
        <v>3266.3500000000004</v>
      </c>
      <c r="BF23">
        <f>SUMIF(Table143911[Type], "Income",Table143911[Aug-29])-SUMIF(Table143911[Type], "Expense",Table143911[Aug-29])</f>
        <v>3573.1499999999996</v>
      </c>
      <c r="BG23">
        <f>SUMIF(Table143911[Type], "Income",Table143911[Sep-29])-SUMIF(Table143911[Type], "Expense",Table143911[Sep-29])</f>
        <v>3880.59</v>
      </c>
      <c r="BH23">
        <f>SUMIF(Table143911[Type], "Income",Table143911[Oct-29])-SUMIF(Table143911[Type], "Expense",Table143911[Oct-29])</f>
        <v>4188.67</v>
      </c>
      <c r="BI23">
        <f>SUMIF(Table143911[Type], "Income",Table143911[Nov-29])-SUMIF(Table143911[Type], "Expense",Table143911[Nov-29])</f>
        <v>4497.3999999999996</v>
      </c>
      <c r="BJ23">
        <f>SUMIF(Table143911[Type], "Income",Table143911[Dec-29])-SUMIF(Table143911[Type], "Expense",Table143911[Dec-29])</f>
        <v>4806.7700000000004</v>
      </c>
    </row>
    <row r="24" spans="1:62" s="1" customFormat="1" x14ac:dyDescent="0.2">
      <c r="A24" s="1" t="s">
        <v>50</v>
      </c>
      <c r="C24" s="1">
        <f>ROUND(Table143911[[#Totals],[Jan-25]]*$B$3,2)</f>
        <v>1703.54</v>
      </c>
      <c r="D24" s="1">
        <f>ROUND(Table143911[[#Totals],[Feb-25]]*$B$3,2)</f>
        <v>5715.42</v>
      </c>
      <c r="E24" s="1">
        <f>ROUND(Table143911[[#Totals],[Mar-25]]*$B$3,2)</f>
        <v>9735.66</v>
      </c>
      <c r="F24" s="1">
        <f>ROUND(Table143911[[#Totals],[Apr-25]]*$B$3,2)</f>
        <v>13764.28</v>
      </c>
      <c r="G24" s="1">
        <f>ROUND(Table143911[[#Totals],[May-25]]*$B$3,2)</f>
        <v>21812.75</v>
      </c>
      <c r="H24" s="1">
        <f>ROUND(Table143911[[#Totals],[Jun-25]]*$B$3,2)</f>
        <v>21858.19</v>
      </c>
      <c r="I24" s="1">
        <f>ROUND(Table143911[[#Totals],[Jul-25]]*$B$3,2)</f>
        <v>23420.639999999999</v>
      </c>
      <c r="J24" s="1">
        <f>ROUND(Table143911[[#Totals],[Aug-25]]*$B$3,2)</f>
        <v>19451.080000000002</v>
      </c>
      <c r="K24" s="1">
        <f>ROUND(Table143911[[#Totals],[Sep-25]]*$B$3,2)</f>
        <v>24589.119999999999</v>
      </c>
      <c r="L24" s="1">
        <f>ROUND(Table143911[[#Totals],[Oct-25]]*$B$3,2)</f>
        <v>25632.41</v>
      </c>
      <c r="M24" s="1">
        <f>ROUND(Table143911[[#Totals],[Nov-25]]*$B$3,2)</f>
        <v>17941.689999999999</v>
      </c>
      <c r="N24" s="1">
        <f>ROUND(Table143911[[#Totals],[Dec-25]]*$B$3,2)</f>
        <v>18971.13</v>
      </c>
      <c r="O24" s="1">
        <f>ROUND(Table143911[[#Totals],[Jan-26]]*$B$3,2)</f>
        <v>12497.11</v>
      </c>
      <c r="P24" s="1">
        <f>ROUND(Table143911[[#Totals],[Feb-26]]*$B$3,2)</f>
        <v>13024.19</v>
      </c>
      <c r="Q24" s="1">
        <f>ROUND(Table143911[[#Totals],[Mar-26]]*$B$3,2)</f>
        <v>13552.37</v>
      </c>
      <c r="R24" s="1">
        <f>ROUND(Table143911[[#Totals],[Apr-26]]*$B$3,2)</f>
        <v>14081.65</v>
      </c>
      <c r="S24" s="1">
        <f>ROUND(Table143911[[#Totals],[May-26]]*$B$3,2)</f>
        <v>14612.03</v>
      </c>
      <c r="T24" s="1">
        <f>ROUND(Table143911[[#Totals],[Jun-26]]*$B$3,2)</f>
        <v>15143.51</v>
      </c>
      <c r="U24" s="1">
        <f>ROUND(Table143911[[#Totals],[Jul-26]]*$B$3,2)</f>
        <v>8661.52</v>
      </c>
      <c r="V24" s="1">
        <f>ROUND(Table143911[[#Totals],[Aug-26]]*$B$3,2)</f>
        <v>9180.61</v>
      </c>
      <c r="W24" s="1">
        <f>ROUND(Table143911[[#Totals],[Sep-26]]*$B$3,2)</f>
        <v>9700.7800000000007</v>
      </c>
      <c r="X24" s="1">
        <f>ROUND(Table143911[[#Totals],[Oct-26]]*$B$3,2)</f>
        <v>10222.030000000001</v>
      </c>
      <c r="Y24" s="1">
        <f>ROUND(Table143911[[#Totals],[Nov-26]]*$B$3,2)</f>
        <v>10744.37</v>
      </c>
      <c r="Z24" s="1">
        <f>ROUND(Table143911[[#Totals],[Dec-26]]*$B$3,2)</f>
        <v>11267.8</v>
      </c>
      <c r="AA24" s="1">
        <f>ROUND(Table143911[[#Totals],[Jan-27]]*$B$3,2)</f>
        <v>11291.27</v>
      </c>
      <c r="AB24" s="1">
        <f>ROUND(Table143911[[#Totals],[Feb-27]]*$B$3,2)</f>
        <v>11314.79</v>
      </c>
      <c r="AC24" s="1">
        <f>ROUND(Table143911[[#Totals],[Mar-27]]*$B$3,2)</f>
        <v>11338.36</v>
      </c>
      <c r="AD24" s="1">
        <f>ROUND(Table143911[[#Totals],[Apr-27]]*$B$3,2)</f>
        <v>11361.98</v>
      </c>
      <c r="AE24" s="1">
        <f>ROUND(Table143911[[#Totals],[May-27]]*$B$3,2)</f>
        <v>11385.65</v>
      </c>
      <c r="AF24" s="1">
        <f>ROUND(Table143911[[#Totals],[Jun-27]]*$B$3,2)</f>
        <v>11409.37</v>
      </c>
      <c r="AG24" s="1">
        <f>ROUND(Table143911[[#Totals],[Jul-27]]*$B$3,2)</f>
        <v>4418.5600000000004</v>
      </c>
      <c r="AH24" s="1">
        <f>ROUND(Table143911[[#Totals],[Aug-27]]*$B$3,2)</f>
        <v>4427.7700000000004</v>
      </c>
      <c r="AI24" s="1">
        <f>ROUND(Table143911[[#Totals],[Sep-27]]*$B$3,2)</f>
        <v>4436.99</v>
      </c>
      <c r="AJ24" s="1">
        <f>ROUND(Table143911[[#Totals],[Oct-27]]*$B$3,2)</f>
        <v>4446.2299999999996</v>
      </c>
      <c r="AK24" s="1">
        <f>ROUND(Table143911[[#Totals],[Nov-27]]*$B$3,2)</f>
        <v>4455.49</v>
      </c>
      <c r="AL24" s="1">
        <f>ROUND(Table143911[[#Totals],[Dec-27]]*$B$3,2)</f>
        <v>4464.7700000000004</v>
      </c>
      <c r="AM24">
        <f>ROUND(Table143911[[#Totals],[Jan-28]]*$B$3,2)</f>
        <v>4774.7</v>
      </c>
      <c r="AN24">
        <f>ROUND(Table143911[[#Totals],[Feb-28]]*$B$3,2)</f>
        <v>5085.2700000000004</v>
      </c>
      <c r="AO24">
        <f>ROUND(Table143911[[#Totals],[Mar-28]]*$B$3,2)</f>
        <v>5396.49</v>
      </c>
      <c r="AP24">
        <f>ROUND(Table143911[[#Totals],[Apr-28]]*$B$3,2)</f>
        <v>5708.36</v>
      </c>
      <c r="AQ24">
        <f>ROUND(Table143911[[#Totals],[May-28]]*$B$3,2)</f>
        <v>6020.88</v>
      </c>
      <c r="AR24">
        <f>ROUND(Table143911[[#Totals],[Jun-28]]*$B$3,2)</f>
        <v>6334.05</v>
      </c>
      <c r="AS24">
        <f>ROUND(Table143911[[#Totals],[Jul-28]]*$B$3,2)</f>
        <v>-366.71</v>
      </c>
      <c r="AT24">
        <f>ROUND(Table143911[[#Totals],[Aug-28]]*$B$3,2)</f>
        <v>-66.849999999999994</v>
      </c>
      <c r="AU24">
        <f>ROUND(Table143911[[#Totals],[Sep-28]]*$B$3,2)</f>
        <v>233.64</v>
      </c>
      <c r="AV24">
        <f>ROUND(Table143911[[#Totals],[Oct-28]]*$B$3,2)</f>
        <v>534.75</v>
      </c>
      <c r="AW24">
        <f>ROUND(Table143911[[#Totals],[Nov-28]]*$B$3,2)</f>
        <v>836.49</v>
      </c>
      <c r="AX24">
        <f>ROUND(Table143911[[#Totals],[Dec-28]]*$B$3,2)</f>
        <v>1138.8599999999999</v>
      </c>
      <c r="AY24">
        <f>ROUND(Table143911[[#Totals],[Jan-29]]*$B$3,2)</f>
        <v>1441.86</v>
      </c>
      <c r="AZ24">
        <f>ROUND(Table143911[[#Totals],[Feb-29]]*$B$3,2)</f>
        <v>1745.49</v>
      </c>
      <c r="BA24">
        <f>ROUND(Table143911[[#Totals],[Mar-29]]*$B$3,2)</f>
        <v>2049.75</v>
      </c>
      <c r="BB24">
        <f>ROUND(Table143911[[#Totals],[Apr-29]]*$B$3,2)</f>
        <v>2354.65</v>
      </c>
      <c r="BC24">
        <f>ROUND(Table143911[[#Totals],[May-29]]*$B$3,2)</f>
        <v>2660.18</v>
      </c>
      <c r="BD24">
        <f>ROUND(Table143911[[#Totals],[Jun-29]]*$B$3,2)</f>
        <v>2966.35</v>
      </c>
      <c r="BE24">
        <f>ROUND(Table143911[[#Totals],[Jul-29]]*$B$3,2)</f>
        <v>3273.15</v>
      </c>
      <c r="BF24">
        <f>ROUND(Table143911[[#Totals],[Aug-29]]*$B$3,2)</f>
        <v>3580.59</v>
      </c>
      <c r="BG24">
        <f>ROUND(Table143911[[#Totals],[Sep-29]]*$B$3,2)</f>
        <v>3888.67</v>
      </c>
      <c r="BH24">
        <f>ROUND(Table143911[[#Totals],[Oct-29]]*$B$3,2)</f>
        <v>4197.3999999999996</v>
      </c>
      <c r="BI24">
        <f>ROUND(Table143911[[#Totals],[Nov-29]]*$B$3,2)</f>
        <v>4506.7700000000004</v>
      </c>
      <c r="BJ24">
        <f>ROUND(Table143911[[#Totals],[Dec-29]]*$B$3,2)</f>
        <v>4816.78</v>
      </c>
    </row>
    <row r="25" spans="1:62" x14ac:dyDescent="0.2">
      <c r="A25" t="s">
        <v>79</v>
      </c>
      <c r="F25" t="s">
        <v>80</v>
      </c>
      <c r="G25" t="s">
        <v>80</v>
      </c>
      <c r="I25" t="s">
        <v>80</v>
      </c>
      <c r="K25" t="s">
        <v>80</v>
      </c>
      <c r="M25" t="s">
        <v>160</v>
      </c>
    </row>
    <row r="26" spans="1:62" x14ac:dyDescent="0.2">
      <c r="E26" t="s">
        <v>64</v>
      </c>
      <c r="J26" t="s">
        <v>159</v>
      </c>
    </row>
    <row r="44" spans="19:25" x14ac:dyDescent="0.2">
      <c r="S44" s="24"/>
      <c r="T44" s="24"/>
      <c r="U44" s="24"/>
      <c r="V44" s="24"/>
      <c r="W44" s="24"/>
      <c r="X44" s="24"/>
      <c r="Y44" s="25"/>
    </row>
    <row r="45" spans="19:25" x14ac:dyDescent="0.2">
      <c r="S45" s="24"/>
      <c r="T45" s="24"/>
      <c r="U45" s="24"/>
      <c r="V45" s="24"/>
      <c r="W45" s="24"/>
      <c r="X45" s="25"/>
    </row>
    <row r="46" spans="19:25" x14ac:dyDescent="0.2">
      <c r="S46" s="24"/>
      <c r="T46" s="24"/>
      <c r="U46" s="24"/>
      <c r="V46" s="24"/>
      <c r="W46" s="24"/>
      <c r="X46" s="24"/>
      <c r="Y46" s="25"/>
    </row>
    <row r="47" spans="19:25" x14ac:dyDescent="0.2">
      <c r="S47" s="24"/>
      <c r="T47" s="24"/>
      <c r="U47" s="24"/>
      <c r="V47" s="24"/>
      <c r="W47" s="24"/>
      <c r="X47" s="25"/>
    </row>
    <row r="48" spans="19:25" x14ac:dyDescent="0.2">
      <c r="S48" s="24"/>
      <c r="T48" s="24"/>
      <c r="U48" s="24"/>
      <c r="V48" s="24"/>
      <c r="W48" s="24"/>
      <c r="X48" s="24"/>
      <c r="Y48" s="25"/>
    </row>
    <row r="49" spans="19:25" x14ac:dyDescent="0.2">
      <c r="S49" s="24"/>
      <c r="T49" s="24"/>
      <c r="U49" s="24"/>
      <c r="V49" s="24"/>
      <c r="W49" s="24"/>
      <c r="X49" s="25"/>
    </row>
    <row r="50" spans="19:25" x14ac:dyDescent="0.2">
      <c r="S50" s="24"/>
      <c r="T50" s="24"/>
      <c r="U50" s="24"/>
      <c r="V50" s="24"/>
      <c r="W50" s="24"/>
      <c r="X50" s="24"/>
      <c r="Y50" s="25"/>
    </row>
    <row r="51" spans="19:25" x14ac:dyDescent="0.2">
      <c r="S51" s="24"/>
      <c r="T51" s="24"/>
      <c r="U51" s="24"/>
      <c r="V51" s="24"/>
      <c r="W51" s="24"/>
      <c r="X51" s="25"/>
    </row>
    <row r="52" spans="19:25" x14ac:dyDescent="0.2">
      <c r="S52" s="24"/>
      <c r="T52" s="24"/>
      <c r="U52" s="24"/>
      <c r="V52" s="24"/>
      <c r="W52" s="24"/>
      <c r="X52" s="24"/>
      <c r="Y52" s="25"/>
    </row>
  </sheetData>
  <conditionalFormatting sqref="G23:BJ24">
    <cfRule type="cellIs" dxfId="63" priority="1" operator="lessThan">
      <formula>0</formula>
    </cfRule>
    <cfRule type="cellIs" dxfId="6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047B-7356-104A-8802-6AF0A821F44C}">
  <dimension ref="A1:AM38"/>
  <sheetViews>
    <sheetView topLeftCell="U1" zoomScale="306" workbookViewId="0">
      <selection activeCell="W9" sqref="W9:W32"/>
    </sheetView>
  </sheetViews>
  <sheetFormatPr baseColWidth="10" defaultRowHeight="16" x14ac:dyDescent="0.2"/>
  <cols>
    <col min="1" max="1" width="57.6640625" customWidth="1"/>
    <col min="20" max="20" width="58.33203125" customWidth="1"/>
    <col min="21" max="21" width="76.6640625" customWidth="1"/>
    <col min="22" max="22" width="58.33203125" bestFit="1" customWidth="1"/>
    <col min="23" max="23" width="10.83203125" customWidth="1"/>
  </cols>
  <sheetData>
    <row r="1" spans="1:23" x14ac:dyDescent="0.2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  <c r="M1" s="14"/>
      <c r="N1" s="14"/>
      <c r="O1" s="14"/>
      <c r="P1" s="14"/>
      <c r="Q1" s="14"/>
      <c r="R1" s="14"/>
      <c r="S1" s="14"/>
      <c r="T1" s="14"/>
    </row>
    <row r="7" spans="1:23" x14ac:dyDescent="0.2">
      <c r="A7" s="2">
        <v>46753</v>
      </c>
      <c r="B7" s="2">
        <v>46784</v>
      </c>
      <c r="C7" s="2">
        <v>46813</v>
      </c>
      <c r="D7" s="2">
        <v>46844</v>
      </c>
      <c r="E7" s="2">
        <v>46874</v>
      </c>
      <c r="F7" s="2">
        <v>46905</v>
      </c>
      <c r="G7" s="2">
        <v>46935</v>
      </c>
      <c r="H7" s="2">
        <v>46966</v>
      </c>
      <c r="I7" s="2">
        <v>46997</v>
      </c>
      <c r="J7" s="2">
        <v>47027</v>
      </c>
      <c r="K7" s="2">
        <v>47058</v>
      </c>
      <c r="L7" s="2">
        <v>47088</v>
      </c>
    </row>
    <row r="9" spans="1:23" x14ac:dyDescent="0.2">
      <c r="O9" s="2">
        <v>46753</v>
      </c>
      <c r="R9" t="str">
        <f>TEXT(O9,"mmm-yy")</f>
        <v>Jan-28</v>
      </c>
      <c r="T9" t="str">
        <f>CONCATENATE("=SUMIF([Type], ""Income"",[",R9,"])-sumif([Type], ""Expense"",[",R9,"])")</f>
        <v>=SUMIF([Type], "Income",[Jan-28])-sumif([Type], "Expense",[Jan-28])</v>
      </c>
      <c r="U9" s="15" t="str">
        <f>CONCATENATE("=ROUND(Table143911[[#Totals],[", R9,"]]*$B$3,2)")</f>
        <v>=ROUND(Table143911[[#Totals],[Jan-28]]*$B$3,2)</v>
      </c>
      <c r="V9" t="s">
        <v>109</v>
      </c>
      <c r="W9" t="s">
        <v>134</v>
      </c>
    </row>
    <row r="10" spans="1:23" x14ac:dyDescent="0.2">
      <c r="O10" s="2">
        <v>46784</v>
      </c>
      <c r="R10" t="str">
        <f t="shared" ref="R10:R32" si="0">TEXT(O10,"mmm-yy")</f>
        <v>Feb-28</v>
      </c>
      <c r="T10" t="str">
        <f t="shared" ref="T10:T32" si="1">CONCATENATE("=SUMIF([Type], ""Income"",[",R10,"])-sumif([Type], ""Expense"",[",R10,"])")</f>
        <v>=SUMIF([Type], "Income",[Feb-28])-sumif([Type], "Expense",[Feb-28])</v>
      </c>
      <c r="U10" s="15" t="str">
        <f t="shared" ref="U10:U32" si="2">CONCATENATE("=ROUND(Table143911[[#Totals],[", R10,"]]*$B$3,2)")</f>
        <v>=ROUND(Table143911[[#Totals],[Feb-28]]*$B$3,2)</v>
      </c>
      <c r="V10" t="s">
        <v>110</v>
      </c>
      <c r="W10" t="s">
        <v>135</v>
      </c>
    </row>
    <row r="11" spans="1:23" x14ac:dyDescent="0.2">
      <c r="O11" s="2">
        <v>46813</v>
      </c>
      <c r="R11" t="str">
        <f t="shared" si="0"/>
        <v>Mar-28</v>
      </c>
      <c r="T11" t="str">
        <f t="shared" si="1"/>
        <v>=SUMIF([Type], "Income",[Mar-28])-sumif([Type], "Expense",[Mar-28])</v>
      </c>
      <c r="U11" s="15" t="str">
        <f t="shared" si="2"/>
        <v>=ROUND(Table143911[[#Totals],[Mar-28]]*$B$3,2)</v>
      </c>
      <c r="V11" t="s">
        <v>111</v>
      </c>
      <c r="W11" t="s">
        <v>136</v>
      </c>
    </row>
    <row r="12" spans="1:23" x14ac:dyDescent="0.2">
      <c r="O12" s="2">
        <v>46844</v>
      </c>
      <c r="R12" t="str">
        <f t="shared" si="0"/>
        <v>Apr-28</v>
      </c>
      <c r="T12" t="str">
        <f t="shared" si="1"/>
        <v>=SUMIF([Type], "Income",[Apr-28])-sumif([Type], "Expense",[Apr-28])</v>
      </c>
      <c r="U12" s="15" t="str">
        <f t="shared" si="2"/>
        <v>=ROUND(Table143911[[#Totals],[Apr-28]]*$B$3,2)</v>
      </c>
      <c r="V12" t="s">
        <v>112</v>
      </c>
      <c r="W12" t="s">
        <v>137</v>
      </c>
    </row>
    <row r="13" spans="1:23" x14ac:dyDescent="0.2">
      <c r="A13" t="s">
        <v>107</v>
      </c>
      <c r="O13" s="2">
        <v>46874</v>
      </c>
      <c r="R13" t="str">
        <f t="shared" si="0"/>
        <v>May-28</v>
      </c>
      <c r="T13" t="str">
        <f t="shared" si="1"/>
        <v>=SUMIF([Type], "Income",[May-28])-sumif([Type], "Expense",[May-28])</v>
      </c>
      <c r="U13" s="15" t="str">
        <f t="shared" si="2"/>
        <v>=ROUND(Table143911[[#Totals],[May-28]]*$B$3,2)</v>
      </c>
      <c r="V13" t="s">
        <v>113</v>
      </c>
      <c r="W13" t="s">
        <v>138</v>
      </c>
    </row>
    <row r="14" spans="1:23" x14ac:dyDescent="0.2">
      <c r="A14" t="s">
        <v>108</v>
      </c>
      <c r="O14" s="2">
        <v>46905</v>
      </c>
      <c r="R14" t="str">
        <f t="shared" si="0"/>
        <v>Jun-28</v>
      </c>
      <c r="T14" t="str">
        <f t="shared" si="1"/>
        <v>=SUMIF([Type], "Income",[Jun-28])-sumif([Type], "Expense",[Jun-28])</v>
      </c>
      <c r="U14" s="15" t="str">
        <f t="shared" si="2"/>
        <v>=ROUND(Table143911[[#Totals],[Jun-28]]*$B$3,2)</v>
      </c>
      <c r="V14" t="s">
        <v>114</v>
      </c>
      <c r="W14" t="s">
        <v>139</v>
      </c>
    </row>
    <row r="15" spans="1:23" x14ac:dyDescent="0.2">
      <c r="O15" s="2">
        <v>46935</v>
      </c>
      <c r="R15" t="str">
        <f t="shared" si="0"/>
        <v>Jul-28</v>
      </c>
      <c r="T15" t="str">
        <f t="shared" si="1"/>
        <v>=SUMIF([Type], "Income",[Jul-28])-sumif([Type], "Expense",[Jul-28])</v>
      </c>
      <c r="U15" s="15" t="str">
        <f t="shared" si="2"/>
        <v>=ROUND(Table143911[[#Totals],[Jul-28]]*$B$3,2)</v>
      </c>
      <c r="V15" t="s">
        <v>115</v>
      </c>
      <c r="W15" t="s">
        <v>140</v>
      </c>
    </row>
    <row r="16" spans="1:23" x14ac:dyDescent="0.2">
      <c r="O16" s="2">
        <v>46966</v>
      </c>
      <c r="R16" t="str">
        <f t="shared" si="0"/>
        <v>Aug-28</v>
      </c>
      <c r="T16" t="str">
        <f t="shared" si="1"/>
        <v>=SUMIF([Type], "Income",[Aug-28])-sumif([Type], "Expense",[Aug-28])</v>
      </c>
      <c r="U16" s="15" t="str">
        <f t="shared" si="2"/>
        <v>=ROUND(Table143911[[#Totals],[Aug-28]]*$B$3,2)</v>
      </c>
      <c r="V16" t="s">
        <v>116</v>
      </c>
      <c r="W16" t="s">
        <v>141</v>
      </c>
    </row>
    <row r="17" spans="1:23" x14ac:dyDescent="0.2">
      <c r="O17" s="2">
        <v>46997</v>
      </c>
      <c r="R17" t="str">
        <f t="shared" si="0"/>
        <v>Sep-28</v>
      </c>
      <c r="T17" t="str">
        <f t="shared" si="1"/>
        <v>=SUMIF([Type], "Income",[Sep-28])-sumif([Type], "Expense",[Sep-28])</v>
      </c>
      <c r="U17" s="15" t="str">
        <f t="shared" si="2"/>
        <v>=ROUND(Table143911[[#Totals],[Sep-28]]*$B$3,2)</v>
      </c>
      <c r="V17" t="s">
        <v>117</v>
      </c>
      <c r="W17" t="s">
        <v>142</v>
      </c>
    </row>
    <row r="18" spans="1:23" x14ac:dyDescent="0.2">
      <c r="A18" s="15" t="s">
        <v>133</v>
      </c>
      <c r="O18" s="2">
        <v>47027</v>
      </c>
      <c r="R18" t="str">
        <f t="shared" si="0"/>
        <v>Oct-28</v>
      </c>
      <c r="T18" t="str">
        <f t="shared" si="1"/>
        <v>=SUMIF([Type], "Income",[Oct-28])-sumif([Type], "Expense",[Oct-28])</v>
      </c>
      <c r="U18" s="15" t="str">
        <f t="shared" si="2"/>
        <v>=ROUND(Table143911[[#Totals],[Oct-28]]*$B$3,2)</v>
      </c>
      <c r="V18" t="s">
        <v>118</v>
      </c>
      <c r="W18" t="s">
        <v>143</v>
      </c>
    </row>
    <row r="19" spans="1:23" x14ac:dyDescent="0.2">
      <c r="O19" s="2">
        <v>47058</v>
      </c>
      <c r="R19" t="str">
        <f t="shared" si="0"/>
        <v>Nov-28</v>
      </c>
      <c r="T19" t="str">
        <f t="shared" si="1"/>
        <v>=SUMIF([Type], "Income",[Nov-28])-sumif([Type], "Expense",[Nov-28])</v>
      </c>
      <c r="U19" s="15" t="str">
        <f t="shared" si="2"/>
        <v>=ROUND(Table143911[[#Totals],[Nov-28]]*$B$3,2)</v>
      </c>
      <c r="V19" t="s">
        <v>119</v>
      </c>
      <c r="W19" t="s">
        <v>144</v>
      </c>
    </row>
    <row r="20" spans="1:23" x14ac:dyDescent="0.2">
      <c r="O20" s="2">
        <v>47088</v>
      </c>
      <c r="R20" t="str">
        <f t="shared" si="0"/>
        <v>Dec-28</v>
      </c>
      <c r="T20" t="str">
        <f t="shared" si="1"/>
        <v>=SUMIF([Type], "Income",[Dec-28])-sumif([Type], "Expense",[Dec-28])</v>
      </c>
      <c r="U20" s="15" t="str">
        <f t="shared" si="2"/>
        <v>=ROUND(Table143911[[#Totals],[Dec-28]]*$B$3,2)</v>
      </c>
      <c r="V20" t="s">
        <v>120</v>
      </c>
      <c r="W20" t="s">
        <v>145</v>
      </c>
    </row>
    <row r="21" spans="1:23" x14ac:dyDescent="0.2">
      <c r="O21" s="2">
        <v>47119</v>
      </c>
      <c r="R21" t="str">
        <f t="shared" si="0"/>
        <v>Jan-29</v>
      </c>
      <c r="T21" t="str">
        <f t="shared" si="1"/>
        <v>=SUMIF([Type], "Income",[Jan-29])-sumif([Type], "Expense",[Jan-29])</v>
      </c>
      <c r="U21" s="15" t="str">
        <f t="shared" si="2"/>
        <v>=ROUND(Table143911[[#Totals],[Jan-29]]*$B$3,2)</v>
      </c>
      <c r="V21" t="s">
        <v>121</v>
      </c>
      <c r="W21" t="s">
        <v>146</v>
      </c>
    </row>
    <row r="22" spans="1:23" x14ac:dyDescent="0.2">
      <c r="O22" s="2">
        <v>47150</v>
      </c>
      <c r="R22" t="str">
        <f t="shared" si="0"/>
        <v>Feb-29</v>
      </c>
      <c r="T22" t="str">
        <f t="shared" si="1"/>
        <v>=SUMIF([Type], "Income",[Feb-29])-sumif([Type], "Expense",[Feb-29])</v>
      </c>
      <c r="U22" s="15" t="str">
        <f t="shared" si="2"/>
        <v>=ROUND(Table143911[[#Totals],[Feb-29]]*$B$3,2)</v>
      </c>
      <c r="V22" t="s">
        <v>122</v>
      </c>
      <c r="W22" t="s">
        <v>147</v>
      </c>
    </row>
    <row r="23" spans="1:23" x14ac:dyDescent="0.2">
      <c r="O23" s="2">
        <v>47178</v>
      </c>
      <c r="R23" t="str">
        <f t="shared" si="0"/>
        <v>Mar-29</v>
      </c>
      <c r="T23" t="str">
        <f t="shared" si="1"/>
        <v>=SUMIF([Type], "Income",[Mar-29])-sumif([Type], "Expense",[Mar-29])</v>
      </c>
      <c r="U23" s="15" t="str">
        <f t="shared" si="2"/>
        <v>=ROUND(Table143911[[#Totals],[Mar-29]]*$B$3,2)</v>
      </c>
      <c r="V23" t="s">
        <v>123</v>
      </c>
      <c r="W23" t="s">
        <v>148</v>
      </c>
    </row>
    <row r="24" spans="1:23" x14ac:dyDescent="0.2">
      <c r="O24" s="2">
        <v>47209</v>
      </c>
      <c r="R24" t="str">
        <f t="shared" si="0"/>
        <v>Apr-29</v>
      </c>
      <c r="T24" t="str">
        <f t="shared" si="1"/>
        <v>=SUMIF([Type], "Income",[Apr-29])-sumif([Type], "Expense",[Apr-29])</v>
      </c>
      <c r="U24" s="15" t="str">
        <f t="shared" si="2"/>
        <v>=ROUND(Table143911[[#Totals],[Apr-29]]*$B$3,2)</v>
      </c>
      <c r="V24" t="s">
        <v>124</v>
      </c>
      <c r="W24" t="s">
        <v>149</v>
      </c>
    </row>
    <row r="25" spans="1:23" x14ac:dyDescent="0.2">
      <c r="O25" s="2">
        <v>47239</v>
      </c>
      <c r="R25" t="str">
        <f t="shared" si="0"/>
        <v>May-29</v>
      </c>
      <c r="T25" t="str">
        <f t="shared" si="1"/>
        <v>=SUMIF([Type], "Income",[May-29])-sumif([Type], "Expense",[May-29])</v>
      </c>
      <c r="U25" s="15" t="str">
        <f t="shared" si="2"/>
        <v>=ROUND(Table143911[[#Totals],[May-29]]*$B$3,2)</v>
      </c>
      <c r="V25" t="s">
        <v>125</v>
      </c>
      <c r="W25" t="s">
        <v>150</v>
      </c>
    </row>
    <row r="26" spans="1:23" x14ac:dyDescent="0.2">
      <c r="O26" s="2">
        <v>47270</v>
      </c>
      <c r="R26" t="str">
        <f t="shared" si="0"/>
        <v>Jun-29</v>
      </c>
      <c r="T26" t="str">
        <f t="shared" si="1"/>
        <v>=SUMIF([Type], "Income",[Jun-29])-sumif([Type], "Expense",[Jun-29])</v>
      </c>
      <c r="U26" s="15" t="str">
        <f t="shared" si="2"/>
        <v>=ROUND(Table143911[[#Totals],[Jun-29]]*$B$3,2)</v>
      </c>
      <c r="V26" t="s">
        <v>126</v>
      </c>
      <c r="W26" t="s">
        <v>151</v>
      </c>
    </row>
    <row r="27" spans="1:23" x14ac:dyDescent="0.2">
      <c r="O27" s="2">
        <v>47300</v>
      </c>
      <c r="R27" t="str">
        <f t="shared" si="0"/>
        <v>Jul-29</v>
      </c>
      <c r="T27" t="str">
        <f t="shared" si="1"/>
        <v>=SUMIF([Type], "Income",[Jul-29])-sumif([Type], "Expense",[Jul-29])</v>
      </c>
      <c r="U27" s="15" t="str">
        <f t="shared" si="2"/>
        <v>=ROUND(Table143911[[#Totals],[Jul-29]]*$B$3,2)</v>
      </c>
      <c r="V27" t="s">
        <v>127</v>
      </c>
      <c r="W27" t="s">
        <v>152</v>
      </c>
    </row>
    <row r="28" spans="1:23" x14ac:dyDescent="0.2">
      <c r="O28" s="2">
        <v>47331</v>
      </c>
      <c r="R28" t="str">
        <f t="shared" si="0"/>
        <v>Aug-29</v>
      </c>
      <c r="T28" t="str">
        <f t="shared" si="1"/>
        <v>=SUMIF([Type], "Income",[Aug-29])-sumif([Type], "Expense",[Aug-29])</v>
      </c>
      <c r="U28" s="15" t="str">
        <f t="shared" si="2"/>
        <v>=ROUND(Table143911[[#Totals],[Aug-29]]*$B$3,2)</v>
      </c>
      <c r="V28" t="s">
        <v>128</v>
      </c>
      <c r="W28" t="s">
        <v>153</v>
      </c>
    </row>
    <row r="29" spans="1:23" x14ac:dyDescent="0.2">
      <c r="O29" s="2">
        <v>47362</v>
      </c>
      <c r="R29" t="str">
        <f t="shared" si="0"/>
        <v>Sep-29</v>
      </c>
      <c r="T29" t="str">
        <f t="shared" si="1"/>
        <v>=SUMIF([Type], "Income",[Sep-29])-sumif([Type], "Expense",[Sep-29])</v>
      </c>
      <c r="U29" s="15" t="str">
        <f t="shared" si="2"/>
        <v>=ROUND(Table143911[[#Totals],[Sep-29]]*$B$3,2)</v>
      </c>
      <c r="V29" t="s">
        <v>129</v>
      </c>
      <c r="W29" t="s">
        <v>154</v>
      </c>
    </row>
    <row r="30" spans="1:23" x14ac:dyDescent="0.2">
      <c r="O30" s="2">
        <v>47392</v>
      </c>
      <c r="R30" t="str">
        <f t="shared" si="0"/>
        <v>Oct-29</v>
      </c>
      <c r="T30" t="str">
        <f t="shared" si="1"/>
        <v>=SUMIF([Type], "Income",[Oct-29])-sumif([Type], "Expense",[Oct-29])</v>
      </c>
      <c r="U30" s="15" t="str">
        <f t="shared" si="2"/>
        <v>=ROUND(Table143911[[#Totals],[Oct-29]]*$B$3,2)</v>
      </c>
      <c r="V30" t="s">
        <v>130</v>
      </c>
      <c r="W30" t="s">
        <v>155</v>
      </c>
    </row>
    <row r="31" spans="1:23" x14ac:dyDescent="0.2">
      <c r="O31" s="2">
        <v>47423</v>
      </c>
      <c r="R31" t="str">
        <f t="shared" si="0"/>
        <v>Nov-29</v>
      </c>
      <c r="T31" t="str">
        <f t="shared" si="1"/>
        <v>=SUMIF([Type], "Income",[Nov-29])-sumif([Type], "Expense",[Nov-29])</v>
      </c>
      <c r="U31" s="15" t="str">
        <f t="shared" si="2"/>
        <v>=ROUND(Table143911[[#Totals],[Nov-29]]*$B$3,2)</v>
      </c>
      <c r="V31" t="s">
        <v>131</v>
      </c>
      <c r="W31" t="s">
        <v>156</v>
      </c>
    </row>
    <row r="32" spans="1:23" x14ac:dyDescent="0.2">
      <c r="O32" s="2">
        <v>47453</v>
      </c>
      <c r="R32" t="str">
        <f t="shared" si="0"/>
        <v>Dec-29</v>
      </c>
      <c r="T32" t="str">
        <f t="shared" si="1"/>
        <v>=SUMIF([Type], "Income",[Dec-29])-sumif([Type], "Expense",[Dec-29])</v>
      </c>
      <c r="U32" s="15" t="str">
        <f t="shared" si="2"/>
        <v>=ROUND(Table143911[[#Totals],[Dec-29]]*$B$3,2)</v>
      </c>
      <c r="V32" t="s">
        <v>132</v>
      </c>
      <c r="W32" t="s">
        <v>157</v>
      </c>
    </row>
    <row r="38" spans="16:39" x14ac:dyDescent="0.2">
      <c r="P38" t="str">
        <f t="shared" ref="P38:AM38" si="3">CONCATENATE("=SUMIF([Type], ""Income"",[",P36,"])-sumif([Type], ""Expense"",[",P36,"])")</f>
        <v>=SUMIF([Type], "Income",[])-sumif([Type], "Expense",[])</v>
      </c>
      <c r="Q38" t="str">
        <f t="shared" si="3"/>
        <v>=SUMIF([Type], "Income",[])-sumif([Type], "Expense",[])</v>
      </c>
      <c r="R38" t="str">
        <f t="shared" si="3"/>
        <v>=SUMIF([Type], "Income",[])-sumif([Type], "Expense",[])</v>
      </c>
      <c r="S38" t="str">
        <f t="shared" si="3"/>
        <v>=SUMIF([Type], "Income",[])-sumif([Type], "Expense",[])</v>
      </c>
      <c r="T38" t="str">
        <f t="shared" si="3"/>
        <v>=SUMIF([Type], "Income",[])-sumif([Type], "Expense",[])</v>
      </c>
      <c r="U38" t="str">
        <f t="shared" si="3"/>
        <v>=SUMIF([Type], "Income",[])-sumif([Type], "Expense",[])</v>
      </c>
      <c r="V38" t="str">
        <f t="shared" si="3"/>
        <v>=SUMIF([Type], "Income",[])-sumif([Type], "Expense",[])</v>
      </c>
      <c r="W38" t="str">
        <f t="shared" si="3"/>
        <v>=SUMIF([Type], "Income",[])-sumif([Type], "Expense",[])</v>
      </c>
      <c r="X38" t="str">
        <f t="shared" si="3"/>
        <v>=SUMIF([Type], "Income",[])-sumif([Type], "Expense",[])</v>
      </c>
      <c r="Y38" t="str">
        <f t="shared" si="3"/>
        <v>=SUMIF([Type], "Income",[])-sumif([Type], "Expense",[])</v>
      </c>
      <c r="Z38" t="str">
        <f t="shared" si="3"/>
        <v>=SUMIF([Type], "Income",[])-sumif([Type], "Expense",[])</v>
      </c>
      <c r="AA38" t="str">
        <f t="shared" si="3"/>
        <v>=SUMIF([Type], "Income",[])-sumif([Type], "Expense",[])</v>
      </c>
      <c r="AB38" t="str">
        <f t="shared" si="3"/>
        <v>=SUMIF([Type], "Income",[])-sumif([Type], "Expense",[])</v>
      </c>
      <c r="AC38" t="str">
        <f t="shared" si="3"/>
        <v>=SUMIF([Type], "Income",[])-sumif([Type], "Expense",[])</v>
      </c>
      <c r="AD38" t="str">
        <f t="shared" si="3"/>
        <v>=SUMIF([Type], "Income",[])-sumif([Type], "Expense",[])</v>
      </c>
      <c r="AE38" t="str">
        <f t="shared" si="3"/>
        <v>=SUMIF([Type], "Income",[])-sumif([Type], "Expense",[])</v>
      </c>
      <c r="AF38" t="str">
        <f t="shared" si="3"/>
        <v>=SUMIF([Type], "Income",[])-sumif([Type], "Expense",[])</v>
      </c>
      <c r="AG38" t="str">
        <f t="shared" si="3"/>
        <v>=SUMIF([Type], "Income",[])-sumif([Type], "Expense",[])</v>
      </c>
      <c r="AH38" t="str">
        <f t="shared" si="3"/>
        <v>=SUMIF([Type], "Income",[])-sumif([Type], "Expense",[])</v>
      </c>
      <c r="AI38" t="str">
        <f t="shared" si="3"/>
        <v>=SUMIF([Type], "Income",[])-sumif([Type], "Expense",[])</v>
      </c>
      <c r="AJ38" t="str">
        <f t="shared" si="3"/>
        <v>=SUMIF([Type], "Income",[])-sumif([Type], "Expense",[])</v>
      </c>
      <c r="AK38" t="str">
        <f t="shared" si="3"/>
        <v>=SUMIF([Type], "Income",[])-sumif([Type], "Expense",[])</v>
      </c>
      <c r="AL38" t="str">
        <f t="shared" si="3"/>
        <v>=SUMIF([Type], "Income",[])-sumif([Type], "Expense",[])</v>
      </c>
      <c r="AM38" t="str">
        <f t="shared" si="3"/>
        <v>=SUMIF([Type], "Income",[])-sumif([Type], "Expense",[])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Jodine Main</vt:lpstr>
      <vt:lpstr>Jodine U</vt:lpstr>
      <vt:lpstr>Jodine U w laptop</vt:lpstr>
      <vt:lpstr>Jodine U AIE BET - yearly</vt:lpstr>
      <vt:lpstr>Jodine U AIE BET</vt:lpstr>
      <vt:lpstr>Jodine U AIE H. Cert Mech Eng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2025-01-04T08:47:44Z</dcterms:created>
  <dcterms:modified xsi:type="dcterms:W3CDTF">2025-11-02T08:22:57Z</dcterms:modified>
</cp:coreProperties>
</file>