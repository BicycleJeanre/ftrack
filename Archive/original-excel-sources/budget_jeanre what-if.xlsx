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GIT-Repos/Personal/ftrack/source files/"/>
    </mc:Choice>
  </mc:AlternateContent>
  <xr:revisionPtr revIDLastSave="0" documentId="13_ncr:1_{2A73A780-38C3-3146-A826-8EACAC2CE3E1}" xr6:coauthVersionLast="47" xr6:coauthVersionMax="47" xr10:uidLastSave="{00000000-0000-0000-0000-000000000000}"/>
  <bookViews>
    <workbookView xWindow="-68800" yWindow="-5900" windowWidth="68800" windowHeight="28300" activeTab="1" xr2:uid="{F25DD163-696E-F842-A897-5E899A2812A7}"/>
  </bookViews>
  <sheets>
    <sheet name="Jeanre Transactional" sheetId="11" r:id="rId1"/>
    <sheet name="Sheet1" sheetId="30" r:id="rId2"/>
    <sheet name="Bernice Transactional" sheetId="20" r:id="rId3"/>
    <sheet name="Bernice Credit Card" sheetId="29" r:id="rId4"/>
    <sheet name="Jeanre Credit Card " sheetId="28" r:id="rId5"/>
    <sheet name="Home Loan" sheetId="26" r:id="rId6"/>
    <sheet name="Jodine U" sheetId="12" r:id="rId7"/>
    <sheet name="Emergency" sheetId="22" r:id="rId8"/>
    <sheet name="Personal Wealth" sheetId="14" r:id="rId9"/>
    <sheet name="Dec 2025 calcs" sheetId="27" r:id="rId10"/>
    <sheet name="Jeanre Credit Card-old" sheetId="19" r:id="rId11"/>
    <sheet name="Bernice Credit Card-old" sheetId="2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0" l="1"/>
  <c r="N3" i="20"/>
  <c r="K17" i="29"/>
  <c r="K16" i="29"/>
  <c r="L9" i="29" s="1"/>
  <c r="J16" i="29"/>
  <c r="I16" i="29"/>
  <c r="H16" i="29"/>
  <c r="G16" i="29"/>
  <c r="F16" i="29"/>
  <c r="E16" i="29"/>
  <c r="D16" i="29"/>
  <c r="C16" i="29"/>
  <c r="B3" i="29"/>
  <c r="K17" i="28"/>
  <c r="B3" i="28"/>
  <c r="K16" i="28"/>
  <c r="L9" i="28" s="1"/>
  <c r="L10" i="28" s="1"/>
  <c r="L17" i="28" s="1"/>
  <c r="J16" i="28"/>
  <c r="I16" i="28"/>
  <c r="H16" i="28"/>
  <c r="G16" i="28"/>
  <c r="F16" i="28"/>
  <c r="E16" i="28"/>
  <c r="D16" i="28"/>
  <c r="C16" i="28"/>
  <c r="O12" i="20"/>
  <c r="P3" i="20" s="1"/>
  <c r="P12" i="20" s="1"/>
  <c r="Q3" i="20" s="1"/>
  <c r="Q12" i="20" s="1"/>
  <c r="R3" i="20" s="1"/>
  <c r="R12" i="20" s="1"/>
  <c r="S3" i="20" s="1"/>
  <c r="S12" i="20" s="1"/>
  <c r="T3" i="20" s="1"/>
  <c r="T12" i="20" s="1"/>
  <c r="U3" i="20" s="1"/>
  <c r="U12" i="20" s="1"/>
  <c r="V3" i="20" s="1"/>
  <c r="V12" i="20" s="1"/>
  <c r="W3" i="20" s="1"/>
  <c r="W12" i="20" s="1"/>
  <c r="N12" i="20"/>
  <c r="M12" i="20"/>
  <c r="L39" i="11"/>
  <c r="M7" i="11" s="1"/>
  <c r="M39" i="11" s="1"/>
  <c r="N7" i="11" s="1"/>
  <c r="N39" i="11" s="1"/>
  <c r="O7" i="11" s="1"/>
  <c r="O39" i="11" s="1"/>
  <c r="P7" i="11" s="1"/>
  <c r="P39" i="11" s="1"/>
  <c r="Q7" i="11" s="1"/>
  <c r="Q39" i="11" s="1"/>
  <c r="R7" i="11" s="1"/>
  <c r="R39" i="11" s="1"/>
  <c r="S7" i="11" s="1"/>
  <c r="S39" i="11" s="1"/>
  <c r="T7" i="11" s="1"/>
  <c r="T39" i="11" s="1"/>
  <c r="U7" i="11" s="1"/>
  <c r="U39" i="11" s="1"/>
  <c r="N18" i="21"/>
  <c r="N19" i="21" s="1"/>
  <c r="N17" i="21"/>
  <c r="K39" i="11"/>
  <c r="I56" i="11"/>
  <c r="G19" i="27"/>
  <c r="C19" i="27"/>
  <c r="K12" i="20"/>
  <c r="B19" i="27"/>
  <c r="I39" i="11"/>
  <c r="AH4" i="26"/>
  <c r="AG4" i="26"/>
  <c r="AF4" i="26"/>
  <c r="AE4" i="26"/>
  <c r="AD4" i="26"/>
  <c r="AC4" i="26"/>
  <c r="AB4" i="26"/>
  <c r="AA4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D7" i="21"/>
  <c r="E7" i="21"/>
  <c r="F7" i="21"/>
  <c r="G7" i="21"/>
  <c r="H7" i="21"/>
  <c r="I7" i="21"/>
  <c r="J7" i="21"/>
  <c r="C7" i="21"/>
  <c r="D12" i="20"/>
  <c r="E12" i="20"/>
  <c r="F12" i="20"/>
  <c r="G12" i="20"/>
  <c r="H12" i="20"/>
  <c r="I12" i="20"/>
  <c r="J12" i="20"/>
  <c r="C12" i="20"/>
  <c r="D9" i="14"/>
  <c r="E9" i="14"/>
  <c r="F9" i="14"/>
  <c r="G9" i="14"/>
  <c r="H9" i="14"/>
  <c r="I9" i="14"/>
  <c r="J9" i="14"/>
  <c r="C9" i="14"/>
  <c r="C4" i="22"/>
  <c r="D4" i="22"/>
  <c r="E4" i="22"/>
  <c r="F4" i="22"/>
  <c r="G4" i="22"/>
  <c r="H4" i="22"/>
  <c r="I4" i="22"/>
  <c r="J4" i="2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C9" i="12"/>
  <c r="E6" i="19"/>
  <c r="F6" i="19"/>
  <c r="G6" i="19"/>
  <c r="H6" i="19"/>
  <c r="I6" i="19"/>
  <c r="J6" i="19"/>
  <c r="D6" i="19"/>
  <c r="C6" i="19"/>
  <c r="C39" i="11"/>
  <c r="J39" i="11"/>
  <c r="H39" i="11"/>
  <c r="G39" i="11"/>
  <c r="F39" i="11"/>
  <c r="E39" i="11"/>
  <c r="D39" i="11"/>
  <c r="L10" i="29" l="1"/>
  <c r="L17" i="29" s="1"/>
  <c r="L16" i="28"/>
  <c r="M9" i="28" s="1"/>
  <c r="N20" i="21"/>
  <c r="V7" i="11"/>
  <c r="V39" i="11" s="1"/>
  <c r="K7" i="21"/>
  <c r="L3" i="21" s="1"/>
  <c r="L7" i="21" s="1"/>
  <c r="M3" i="21" s="1"/>
  <c r="M7" i="21" s="1"/>
  <c r="N3" i="21" s="1"/>
  <c r="N7" i="21" s="1"/>
  <c r="O3" i="21" s="1"/>
  <c r="O7" i="21" s="1"/>
  <c r="P3" i="21" s="1"/>
  <c r="P7" i="21" s="1"/>
  <c r="Q3" i="21" s="1"/>
  <c r="Q7" i="21" s="1"/>
  <c r="R3" i="21" s="1"/>
  <c r="R7" i="21" s="1"/>
  <c r="S3" i="21" s="1"/>
  <c r="S7" i="21" s="1"/>
  <c r="T3" i="21" s="1"/>
  <c r="T7" i="21" s="1"/>
  <c r="U3" i="21" s="1"/>
  <c r="U7" i="21" s="1"/>
  <c r="L16" i="29" l="1"/>
  <c r="M9" i="29" s="1"/>
  <c r="M10" i="29" s="1"/>
  <c r="M17" i="29" s="1"/>
  <c r="M10" i="28"/>
  <c r="M17" i="28" s="1"/>
  <c r="M16" i="28"/>
  <c r="N9" i="28" s="1"/>
  <c r="M16" i="29" l="1"/>
  <c r="N9" i="29" s="1"/>
  <c r="N10" i="28"/>
  <c r="N10" i="29" l="1"/>
  <c r="N17" i="29" s="1"/>
  <c r="N16" i="28"/>
  <c r="O9" i="28" s="1"/>
  <c r="N17" i="28"/>
  <c r="N16" i="29" l="1"/>
  <c r="O9" i="29" s="1"/>
  <c r="O10" i="29" s="1"/>
  <c r="O17" i="29" s="1"/>
  <c r="O10" i="28"/>
  <c r="O17" i="28" s="1"/>
  <c r="O16" i="29" l="1"/>
  <c r="P9" i="29" s="1"/>
  <c r="P10" i="29" s="1"/>
  <c r="P17" i="29" s="1"/>
  <c r="O16" i="28"/>
  <c r="P9" i="28" s="1"/>
  <c r="P10" i="28" s="1"/>
  <c r="P17" i="28" l="1"/>
  <c r="P16" i="28"/>
  <c r="Q9" i="28" s="1"/>
  <c r="Q10" i="28" s="1"/>
  <c r="Q17" i="28" s="1"/>
  <c r="P16" i="29"/>
  <c r="Q9" i="29" s="1"/>
  <c r="Q16" i="28" l="1"/>
  <c r="R9" i="28" s="1"/>
  <c r="R10" i="28" s="1"/>
  <c r="Q10" i="29"/>
  <c r="Q17" i="29" s="1"/>
  <c r="Q16" i="29"/>
  <c r="R9" i="29" s="1"/>
  <c r="R17" i="28" l="1"/>
  <c r="R16" i="28"/>
  <c r="S9" i="28" s="1"/>
  <c r="S10" i="28" s="1"/>
  <c r="S17" i="28" s="1"/>
  <c r="R10" i="29"/>
  <c r="R17" i="29" s="1"/>
  <c r="R16" i="29"/>
  <c r="S9" i="29" s="1"/>
  <c r="S16" i="28" l="1"/>
  <c r="T9" i="28" s="1"/>
  <c r="T10" i="28" s="1"/>
  <c r="T17" i="28" s="1"/>
  <c r="S10" i="29"/>
  <c r="S17" i="29" s="1"/>
  <c r="S16" i="29"/>
  <c r="T9" i="29" s="1"/>
  <c r="T16" i="28" l="1"/>
  <c r="U9" i="28" s="1"/>
  <c r="U10" i="28" s="1"/>
  <c r="T10" i="29"/>
  <c r="T17" i="29" s="1"/>
  <c r="T16" i="29"/>
  <c r="U9" i="29" s="1"/>
  <c r="U17" i="28" l="1"/>
  <c r="U16" i="28"/>
  <c r="U10" i="29"/>
  <c r="U17" i="29" s="1"/>
  <c r="U16" i="29"/>
</calcChain>
</file>

<file path=xl/sharedStrings.xml><?xml version="1.0" encoding="utf-8"?>
<sst xmlns="http://schemas.openxmlformats.org/spreadsheetml/2006/main" count="463" uniqueCount="130">
  <si>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</si>
  <si>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</si>
  <si>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</si>
  <si>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</si>
  <si>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</si>
  <si>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</si>
  <si>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</si>
  <si>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</si>
  <si>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</si>
  <si>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Bernice Credit Card</t>
  </si>
  <si>
    <t>Jeanre Credit Card</t>
  </si>
  <si>
    <t>Netflix</t>
  </si>
  <si>
    <t>Apple One</t>
  </si>
  <si>
    <t>Municipal Account</t>
  </si>
  <si>
    <t>Fuel</t>
  </si>
  <si>
    <t>Jansie</t>
  </si>
  <si>
    <t>Bernice Transactional</t>
  </si>
  <si>
    <t>Other</t>
  </si>
  <si>
    <t>Bernice Retirement</t>
  </si>
  <si>
    <t>Jeanre Retirement</t>
  </si>
  <si>
    <t>Clothing</t>
  </si>
  <si>
    <t>Netstar</t>
  </si>
  <si>
    <t>Geely Insurance</t>
  </si>
  <si>
    <t>Movement</t>
  </si>
  <si>
    <t>Home and Vehicle Savings</t>
  </si>
  <si>
    <t>Jodine U</t>
  </si>
  <si>
    <t>Stationary</t>
  </si>
  <si>
    <t>Bernice Eyes</t>
  </si>
  <si>
    <t>Daniel Bachelors</t>
  </si>
  <si>
    <t>Suzuki Maintenance</t>
  </si>
  <si>
    <t>Personal Wealth</t>
  </si>
  <si>
    <t>Daniel Wedding</t>
  </si>
  <si>
    <t>Ian Wedding</t>
  </si>
  <si>
    <t>Jodine Deneysville visit</t>
  </si>
  <si>
    <t>CTU</t>
  </si>
  <si>
    <t>CTU Deposit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</si>
  <si>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</si>
  <si>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</si>
  <si>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</si>
  <si>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</si>
  <si>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</si>
  <si>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</si>
  <si>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</si>
  <si>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</si>
  <si>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</si>
  <si>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</si>
  <si>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</si>
  <si>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</si>
  <si>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</si>
  <si>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</si>
  <si>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</si>
  <si>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</si>
  <si>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</si>
  <si>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</si>
  <si>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</si>
  <si>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</si>
  <si>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</si>
  <si>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</si>
  <si>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</si>
  <si>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</si>
  <si>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</si>
  <si>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</si>
  <si>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</si>
  <si>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</si>
  <si>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</si>
  <si>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</si>
  <si>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</si>
  <si>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</si>
  <si>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</si>
  <si>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</si>
  <si>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</si>
  <si>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</si>
  <si>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</si>
  <si>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</si>
  <si>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</si>
  <si>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2026-05-01</t>
  </si>
  <si>
    <t xml:space="preserve"> R                    -  </t>
  </si>
  <si>
    <t>Subtotal</t>
  </si>
  <si>
    <t>Bicycle Claims</t>
  </si>
  <si>
    <t>Running Costs</t>
  </si>
  <si>
    <t>Medical</t>
  </si>
  <si>
    <t>Vehicle Licenses</t>
  </si>
  <si>
    <t>Budget Retained Balance</t>
  </si>
  <si>
    <t>Comic Con</t>
  </si>
  <si>
    <t>Bulk Meat</t>
  </si>
  <si>
    <t>Tax</t>
  </si>
  <si>
    <t>Bernice Personal Savings</t>
  </si>
  <si>
    <t>Tax Refund</t>
  </si>
  <si>
    <t>Vape</t>
  </si>
  <si>
    <t>Gaming</t>
  </si>
  <si>
    <t>Retained Balance</t>
  </si>
  <si>
    <t>Accounts</t>
  </si>
  <si>
    <t>Events</t>
  </si>
  <si>
    <t>things to pay</t>
  </si>
  <si>
    <t>amount to pay</t>
  </si>
  <si>
    <t>no-choice</t>
  </si>
  <si>
    <t>2024-12-02</t>
  </si>
  <si>
    <t>previous month insurance</t>
  </si>
  <si>
    <t>cash</t>
  </si>
  <si>
    <t>jodine</t>
  </si>
  <si>
    <t>save</t>
  </si>
  <si>
    <t>Jan Account</t>
  </si>
  <si>
    <t>jan spend</t>
  </si>
  <si>
    <t>feb</t>
  </si>
  <si>
    <t>march</t>
  </si>
  <si>
    <t>done</t>
  </si>
  <si>
    <t>left</t>
  </si>
  <si>
    <t>debt</t>
  </si>
  <si>
    <t>divide by 700 to get months</t>
  </si>
  <si>
    <t>divide by 900 to get months</t>
  </si>
  <si>
    <t>Geely Parts</t>
  </si>
  <si>
    <t>GGServers</t>
  </si>
  <si>
    <t>Fiddler</t>
  </si>
  <si>
    <t>Fees</t>
  </si>
  <si>
    <t>Interest</t>
  </si>
  <si>
    <t>Item</t>
  </si>
  <si>
    <t>Amount</t>
  </si>
  <si>
    <t>Interest NACM</t>
  </si>
  <si>
    <t>Interst Monthly</t>
  </si>
  <si>
    <t>Debit Total</t>
  </si>
  <si>
    <t>Gas</t>
  </si>
  <si>
    <t>1 dollar app</t>
  </si>
  <si>
    <t xml:space="preserve">I need 1500 dollars a month at least </t>
  </si>
  <si>
    <t xml:space="preserve">meaning I need to sell 1500 copies a month. </t>
  </si>
  <si>
    <t>also we can make 10cents per ad impression(lowest)</t>
  </si>
  <si>
    <t xml:space="preserve">so we need 15000 ad impressions a month. </t>
  </si>
  <si>
    <t xml:space="preserve">that is ±485 ad impressions a day. </t>
  </si>
  <si>
    <t>if the average user uses receives 2 ad impressions a day</t>
  </si>
  <si>
    <t xml:space="preserve">we need upwards of 250 users. </t>
  </si>
  <si>
    <t xml:space="preserve">this might be doable...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</si>
</sst>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2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name val="Aptos Narrow"/>
      <scheme val="minor"/>
    </font>
    <font>
      <b/>
      <sz val="16"/>
      <name val="Aptos Narrow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color rgb="FF000000"/>
      <name val="Aptos Narrow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4EA72E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rgb="FF464646"/>
      <name val="Calibri"/>
      <family val="2"/>
    </font>
    <font>
      <b/>
      <sz val="16"/>
      <color rgb="FF7030A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B050"/>
      <name val="Aptos Narrow"/>
      <scheme val="minor"/>
    </font>
    <font>
      <b/>
      <sz val="16"/>
      <color rgb="FF00B050"/>
      <name val="Aptos Narrow"/>
    </font>
    <font>
      <b/>
      <sz val="16"/>
      <color rgb="FF0070C0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rgb="FF94DC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8FFF77"/>
      </patternFill>
    </fill>
    <fill>
      <patternFill patternType="solid">
        <fgColor rgb="FFFFFFFF"/>
      </patternFill>
    </fill>
    <fill>
      <patternFill patternType="solid">
        <fgColor rgb="FFDAF2D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1" fillId="0" borderId="2" xfId="0" applyFont="1" applyBorder="1"/>
    <xf numFmtId="0" fontId="1" fillId="0" borderId="3" xfId="0" applyFont="1" applyBorder="1"/>
    <xf numFmtId="44" fontId="6" fillId="2" borderId="0" xfId="0" applyNumberFormat="1" applyFont="1" applyFill="1"/>
    <xf numFmtId="0" fontId="7" fillId="4" borderId="0" xfId="0" applyFont="1" applyFill="1"/>
    <xf numFmtId="44" fontId="8" fillId="4" borderId="0" xfId="0" applyNumberFormat="1" applyFont="1" applyFill="1"/>
    <xf numFmtId="0" fontId="7" fillId="5" borderId="0" xfId="0" applyFont="1" applyFill="1"/>
    <xf numFmtId="44" fontId="8" fillId="5" borderId="0" xfId="0" applyNumberFormat="1" applyFont="1" applyFill="1"/>
    <xf numFmtId="44" fontId="6" fillId="6" borderId="0" xfId="0" applyNumberFormat="1" applyFont="1" applyFill="1"/>
    <xf numFmtId="0" fontId="5" fillId="7" borderId="0" xfId="0" applyFont="1" applyFill="1"/>
    <xf numFmtId="0" fontId="1" fillId="0" borderId="1" xfId="0" applyFont="1" applyBorder="1"/>
    <xf numFmtId="0" fontId="9" fillId="2" borderId="0" xfId="0" applyFont="1" applyFill="1"/>
    <xf numFmtId="0" fontId="10" fillId="4" borderId="0" xfId="0" applyFont="1" applyFill="1"/>
    <xf numFmtId="0" fontId="9" fillId="4" borderId="0" xfId="0" applyFont="1" applyFill="1"/>
    <xf numFmtId="44" fontId="6" fillId="4" borderId="0" xfId="0" applyNumberFormat="1" applyFont="1" applyFill="1"/>
    <xf numFmtId="0" fontId="0" fillId="4" borderId="0" xfId="0" applyFill="1"/>
    <xf numFmtId="49" fontId="1" fillId="0" borderId="1" xfId="0" applyNumberFormat="1" applyFont="1" applyBorder="1"/>
    <xf numFmtId="44" fontId="12" fillId="2" borderId="0" xfId="0" applyNumberFormat="1" applyFont="1" applyFill="1"/>
    <xf numFmtId="0" fontId="9" fillId="2" borderId="4" xfId="0" applyFont="1" applyFill="1" applyBorder="1"/>
    <xf numFmtId="44" fontId="8" fillId="2" borderId="0" xfId="0" applyNumberFormat="1" applyFont="1" applyFill="1"/>
    <xf numFmtId="0" fontId="9" fillId="7" borderId="0" xfId="0" applyFont="1" applyFill="1"/>
    <xf numFmtId="0" fontId="9" fillId="3" borderId="0" xfId="0" applyFont="1" applyFill="1"/>
    <xf numFmtId="49" fontId="14" fillId="0" borderId="6" xfId="0" applyNumberFormat="1" applyFont="1" applyBorder="1"/>
    <xf numFmtId="49" fontId="14" fillId="0" borderId="1" xfId="0" applyNumberFormat="1" applyFont="1" applyBorder="1"/>
    <xf numFmtId="0" fontId="15" fillId="8" borderId="4" xfId="0" applyFont="1" applyFill="1" applyBorder="1"/>
    <xf numFmtId="44" fontId="16" fillId="8" borderId="0" xfId="0" applyNumberFormat="1" applyFont="1" applyFill="1"/>
    <xf numFmtId="0" fontId="15" fillId="9" borderId="0" xfId="0" applyFont="1" applyFill="1"/>
    <xf numFmtId="44" fontId="17" fillId="9" borderId="0" xfId="0" applyNumberFormat="1" applyFont="1" applyFill="1"/>
    <xf numFmtId="0" fontId="9" fillId="6" borderId="0" xfId="0" applyFont="1" applyFill="1"/>
    <xf numFmtId="0" fontId="14" fillId="0" borderId="7" xfId="0" applyFont="1" applyBorder="1"/>
    <xf numFmtId="0" fontId="14" fillId="0" borderId="1" xfId="0" applyFont="1" applyBorder="1"/>
    <xf numFmtId="44" fontId="6" fillId="6" borderId="2" xfId="0" applyNumberFormat="1" applyFont="1" applyFill="1" applyBorder="1"/>
    <xf numFmtId="0" fontId="10" fillId="10" borderId="0" xfId="0" applyFont="1" applyFill="1"/>
    <xf numFmtId="44" fontId="8" fillId="10" borderId="0" xfId="0" applyNumberFormat="1" applyFont="1" applyFill="1"/>
    <xf numFmtId="0" fontId="3" fillId="3" borderId="0" xfId="0" applyFont="1" applyFill="1"/>
    <xf numFmtId="0" fontId="7" fillId="3" borderId="0" xfId="0" applyFont="1" applyFill="1"/>
    <xf numFmtId="44" fontId="8" fillId="3" borderId="0" xfId="0" applyNumberFormat="1" applyFont="1" applyFill="1"/>
    <xf numFmtId="0" fontId="7" fillId="10" borderId="0" xfId="0" applyFont="1" applyFill="1"/>
    <xf numFmtId="0" fontId="10" fillId="3" borderId="0" xfId="0" applyFont="1" applyFill="1"/>
    <xf numFmtId="0" fontId="7" fillId="2" borderId="4" xfId="0" applyFont="1" applyFill="1" applyBorder="1"/>
    <xf numFmtId="0" fontId="7" fillId="6" borderId="8" xfId="0" applyFont="1" applyFill="1" applyBorder="1"/>
    <xf numFmtId="44" fontId="8" fillId="6" borderId="8" xfId="0" applyNumberFormat="1" applyFont="1" applyFill="1" applyBorder="1"/>
    <xf numFmtId="0" fontId="0" fillId="0" borderId="8" xfId="0" applyBorder="1"/>
    <xf numFmtId="0" fontId="9" fillId="11" borderId="0" xfId="0" applyFont="1" applyFill="1"/>
    <xf numFmtId="0" fontId="0" fillId="11" borderId="0" xfId="0" applyFill="1"/>
    <xf numFmtId="44" fontId="13" fillId="11" borderId="5" xfId="0" applyNumberFormat="1" applyFont="1" applyFill="1" applyBorder="1"/>
    <xf numFmtId="0" fontId="9" fillId="10" borderId="0" xfId="0" applyFont="1" applyFill="1"/>
    <xf numFmtId="44" fontId="6" fillId="3" borderId="0" xfId="0" applyNumberFormat="1" applyFont="1" applyFill="1"/>
    <xf numFmtId="44" fontId="11" fillId="12" borderId="0" xfId="0" applyNumberFormat="1" applyFont="1" applyFill="1"/>
    <xf numFmtId="0" fontId="10" fillId="2" borderId="0" xfId="0" applyFont="1" applyFill="1"/>
    <xf numFmtId="0" fontId="9" fillId="5" borderId="0" xfId="0" applyFont="1" applyFill="1"/>
    <xf numFmtId="44" fontId="18" fillId="10" borderId="0" xfId="0" applyNumberFormat="1" applyFont="1" applyFill="1"/>
    <xf numFmtId="0" fontId="9" fillId="13" borderId="0" xfId="0" applyFont="1" applyFill="1"/>
    <xf numFmtId="44" fontId="11" fillId="14" borderId="0" xfId="0" applyNumberFormat="1" applyFont="1" applyFill="1"/>
    <xf numFmtId="0" fontId="19" fillId="15" borderId="9" xfId="0" applyFont="1" applyFill="1" applyBorder="1" applyAlignment="1">
      <alignment vertical="top"/>
    </xf>
    <xf numFmtId="4" fontId="19" fillId="16" borderId="9" xfId="0" applyNumberFormat="1" applyFont="1" applyFill="1" applyBorder="1" applyAlignment="1">
      <alignment vertical="top"/>
    </xf>
    <xf numFmtId="4" fontId="0" fillId="0" borderId="0" xfId="0" applyNumberFormat="1"/>
    <xf numFmtId="0" fontId="19" fillId="15" borderId="0" xfId="0" applyFont="1" applyFill="1" applyAlignment="1">
      <alignment vertical="top"/>
    </xf>
    <xf numFmtId="4" fontId="19" fillId="16" borderId="0" xfId="0" applyNumberFormat="1" applyFont="1" applyFill="1" applyAlignment="1">
      <alignment vertical="top"/>
    </xf>
    <xf numFmtId="44" fontId="1" fillId="0" borderId="0" xfId="0" applyNumberFormat="1" applyFont="1"/>
    <xf numFmtId="0" fontId="1" fillId="0" borderId="10" xfId="0" applyFont="1" applyBorder="1"/>
    <xf numFmtId="49" fontId="1" fillId="0" borderId="2" xfId="0" applyNumberFormat="1" applyFont="1" applyBorder="1"/>
    <xf numFmtId="0" fontId="10" fillId="2" borderId="2" xfId="0" applyFont="1" applyFill="1" applyBorder="1"/>
    <xf numFmtId="0" fontId="10" fillId="2" borderId="4" xfId="0" applyFont="1" applyFill="1" applyBorder="1"/>
    <xf numFmtId="44" fontId="18" fillId="2" borderId="4" xfId="0" applyNumberFormat="1" applyFont="1" applyFill="1" applyBorder="1"/>
    <xf numFmtId="44" fontId="20" fillId="2" borderId="4" xfId="0" applyNumberFormat="1" applyFont="1" applyFill="1" applyBorder="1"/>
    <xf numFmtId="44" fontId="18" fillId="2" borderId="0" xfId="0" applyNumberFormat="1" applyFont="1" applyFill="1"/>
    <xf numFmtId="44" fontId="20" fillId="2" borderId="0" xfId="0" applyNumberFormat="1" applyFont="1" applyFill="1"/>
    <xf numFmtId="44" fontId="18" fillId="3" borderId="0" xfId="0" applyNumberFormat="1" applyFont="1" applyFill="1"/>
    <xf numFmtId="44" fontId="20" fillId="3" borderId="0" xfId="0" applyNumberFormat="1" applyFont="1" applyFill="1"/>
    <xf numFmtId="44" fontId="20" fillId="10" borderId="0" xfId="0" applyNumberFormat="1" applyFont="1" applyFill="1"/>
    <xf numFmtId="44" fontId="22" fillId="3" borderId="0" xfId="0" applyNumberFormat="1" applyFont="1" applyFill="1"/>
    <xf numFmtId="44" fontId="21" fillId="3" borderId="0" xfId="0" applyNumberFormat="1" applyFont="1" applyFill="1"/>
    <xf numFmtId="0" fontId="13" fillId="6" borderId="5" xfId="0" applyFont="1" applyFill="1" applyBorder="1"/>
    <xf numFmtId="44" fontId="13" fillId="6" borderId="5" xfId="0" applyNumberFormat="1" applyFont="1" applyFill="1" applyBorder="1"/>
    <xf numFmtId="44" fontId="12" fillId="3" borderId="0" xfId="0" applyNumberFormat="1" applyFont="1" applyFill="1"/>
    <xf numFmtId="44" fontId="12" fillId="10" borderId="0" xfId="0" applyNumberFormat="1" applyFont="1" applyFill="1"/>
    <xf numFmtId="44" fontId="8" fillId="17" borderId="0" xfId="0" applyNumberFormat="1" applyFont="1" applyFill="1"/>
    <xf numFmtId="44" fontId="8" fillId="17" borderId="8" xfId="0" applyNumberFormat="1" applyFont="1" applyFill="1" applyBorder="1"/>
    <xf numFmtId="44" fontId="1" fillId="0" borderId="1" xfId="0" applyNumberFormat="1" applyFont="1" applyBorder="1"/>
    <xf numFmtId="44" fontId="11" fillId="17" borderId="0" xfId="0" applyNumberFormat="1" applyFont="1" applyFill="1"/>
    <xf numFmtId="44" fontId="23" fillId="2" borderId="0" xfId="0" applyNumberFormat="1" applyFont="1" applyFill="1"/>
    <xf numFmtId="44" fontId="24" fillId="14" borderId="0" xfId="0" applyNumberFormat="1" applyFont="1" applyFill="1"/>
    <xf numFmtId="44" fontId="23" fillId="3" borderId="0" xfId="0" applyNumberFormat="1" applyFont="1" applyFill="1"/>
    <xf numFmtId="44" fontId="23" fillId="10" borderId="0" xfId="0" applyNumberFormat="1" applyFont="1" applyFill="1"/>
    <xf numFmtId="44" fontId="8" fillId="14" borderId="0" xfId="0" applyNumberFormat="1" applyFont="1" applyFill="1"/>
    <xf numFmtId="44" fontId="23" fillId="14" borderId="0" xfId="0" applyNumberFormat="1" applyFont="1" applyFill="1"/>
    <xf numFmtId="44" fontId="24" fillId="12" borderId="0" xfId="0" applyNumberFormat="1" applyFont="1" applyFill="1"/>
    <xf numFmtId="44" fontId="25" fillId="3" borderId="0" xfId="0" applyNumberFormat="1" applyFont="1" applyFill="1"/>
  </cellXfs>
  <cellStyles count="1">
    <cellStyle name="Normal" xfId="0" builtinId="0"/>
  </cellStyles>
  <dxfs count="32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19"/>
            <c:spPr>
              <a:solidFill>
                <a:schemeClr val="bg1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37-9247-9BEB-E94FF6BA0DB9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37-9247-9BEB-E94FF6BA0DB9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37-9247-9BEB-E94FF6BA0DB9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37-9247-9BEB-E94FF6BA0DB9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37-9247-9BEB-E94FF6BA0DB9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137-9247-9BEB-E94FF6BA0DB9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137-9247-9BEB-E94FF6BA0DB9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137-9247-9BEB-E94FF6BA0DB9}"/>
              </c:ext>
            </c:extLst>
          </c:dPt>
          <c:cat>
            <c:strRef>
              <c:f>'Bernice Credit Card'!$K$7:$U$7</c:f>
              <c:strCache>
                <c:ptCount val="11"/>
                <c:pt idx="0">
                  <c:v> 2025-02-01 </c:v>
                </c:pt>
                <c:pt idx="1">
                  <c:v> 2025-03-01 </c:v>
                </c:pt>
                <c:pt idx="2">
                  <c:v> 2025-04-01 </c:v>
                </c:pt>
                <c:pt idx="3">
                  <c:v> 2025-05-01 </c:v>
                </c:pt>
                <c:pt idx="4">
                  <c:v> 2025-06-01 </c:v>
                </c:pt>
                <c:pt idx="5">
                  <c:v> 2025-07-01 </c:v>
                </c:pt>
                <c:pt idx="6">
                  <c:v> 2025-08-01 </c:v>
                </c:pt>
                <c:pt idx="7">
                  <c:v> 2025-09-01 </c:v>
                </c:pt>
                <c:pt idx="8">
                  <c:v> 2025-10-01 </c:v>
                </c:pt>
                <c:pt idx="9">
                  <c:v> 2025-11-01 </c:v>
                </c:pt>
                <c:pt idx="10">
                  <c:v> 2025-12-01 </c:v>
                </c:pt>
              </c:strCache>
            </c:strRef>
          </c:cat>
          <c:val>
            <c:numRef>
              <c:f>'Bernice Credit Card'!$K$16:$U$16</c:f>
              <c:numCache>
                <c:formatCode>_("R"* #,##0.00_);_("R"* \(#,##0.00\);_("R"* "-"??_);_(@_)</c:formatCode>
                <c:ptCount val="11"/>
                <c:pt idx="0">
                  <c:v>-5230</c:v>
                </c:pt>
                <c:pt idx="1">
                  <c:v>-4403.0020833333338</c:v>
                </c:pt>
                <c:pt idx="2">
                  <c:v>-3564.4606540798613</c:v>
                </c:pt>
                <c:pt idx="3">
                  <c:v>-2714.2145840430594</c:v>
                </c:pt>
                <c:pt idx="4">
                  <c:v>-1852.1004959453271</c:v>
                </c:pt>
                <c:pt idx="5">
                  <c:v>-977.95273203456395</c:v>
                </c:pt>
                <c:pt idx="6">
                  <c:v>-3591.6033222525466</c:v>
                </c:pt>
                <c:pt idx="7">
                  <c:v>-2741.7361186256549</c:v>
                </c:pt>
                <c:pt idx="8">
                  <c:v>-1880.0061852814713</c:v>
                </c:pt>
                <c:pt idx="9">
                  <c:v>-1006.2479382843585</c:v>
                </c:pt>
                <c:pt idx="10">
                  <c:v>-120.293482422911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137-9247-9BEB-E94FF6BA0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24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F6-404D-879B-B7EDCA3DF54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F6-404D-879B-B7EDCA3DF54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F6-404D-879B-B7EDCA3DF54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F6-404D-879B-B7EDCA3DF54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F6-404D-879B-B7EDCA3DF54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BF6-404D-879B-B7EDCA3DF54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BF6-404D-879B-B7EDCA3DF546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BF6-404D-879B-B7EDCA3DF546}"/>
              </c:ext>
            </c:extLst>
          </c:dPt>
          <c:cat>
            <c:strRef>
              <c:f>'Jeanre Credit Card '!$K$7:$U$7</c:f>
              <c:strCache>
                <c:ptCount val="11"/>
                <c:pt idx="0">
                  <c:v> 2025-02-01 </c:v>
                </c:pt>
                <c:pt idx="1">
                  <c:v> 2025-03-01 </c:v>
                </c:pt>
                <c:pt idx="2">
                  <c:v> 2025-04-01 </c:v>
                </c:pt>
                <c:pt idx="3">
                  <c:v> 2025-05-01 </c:v>
                </c:pt>
                <c:pt idx="4">
                  <c:v> 2025-06-01 </c:v>
                </c:pt>
                <c:pt idx="5">
                  <c:v> 2025-07-01 </c:v>
                </c:pt>
                <c:pt idx="6">
                  <c:v> 2025-08-01 </c:v>
                </c:pt>
                <c:pt idx="7">
                  <c:v> 2025-09-01 </c:v>
                </c:pt>
                <c:pt idx="8">
                  <c:v> 2025-10-01 </c:v>
                </c:pt>
                <c:pt idx="9">
                  <c:v> 2025-11-01 </c:v>
                </c:pt>
                <c:pt idx="10">
                  <c:v> 2025-12-01 </c:v>
                </c:pt>
              </c:strCache>
            </c:strRef>
          </c:cat>
          <c:val>
            <c:numRef>
              <c:f>'Jeanre Credit Card '!$K$16:$U$16</c:f>
              <c:numCache>
                <c:formatCode>_("R"* #,##0.00_);_("R"* \(#,##0.00\);_("R"* "-"??_);_(@_)</c:formatCode>
                <c:ptCount val="11"/>
                <c:pt idx="0">
                  <c:v>-8980</c:v>
                </c:pt>
                <c:pt idx="1">
                  <c:v>-8062.2725</c:v>
                </c:pt>
                <c:pt idx="2">
                  <c:v>-7128.3700528125</c:v>
                </c:pt>
                <c:pt idx="3">
                  <c:v>-6178.0075749933203</c:v>
                </c:pt>
                <c:pt idx="4">
                  <c:v>-5210.8949585025775</c:v>
                </c:pt>
                <c:pt idx="5">
                  <c:v>-4226.7369821461853</c:v>
                </c:pt>
                <c:pt idx="6">
                  <c:v>-3225.2332214565117</c:v>
                </c:pt>
                <c:pt idx="7">
                  <c:v>-2206.0779569846827</c:v>
                </c:pt>
                <c:pt idx="8">
                  <c:v>-1168.9600809765377</c:v>
                </c:pt>
                <c:pt idx="9">
                  <c:v>-113.56300240374912</c:v>
                </c:pt>
                <c:pt idx="10">
                  <c:v>960.43544967888477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3-904F-A062-6641B220E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22</xdr:row>
      <xdr:rowOff>50800</xdr:rowOff>
    </xdr:from>
    <xdr:to>
      <xdr:col>37</xdr:col>
      <xdr:colOff>609600</xdr:colOff>
      <xdr:row>69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8A483-D8F2-6D4C-870B-07E362301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22</xdr:row>
      <xdr:rowOff>50800</xdr:rowOff>
    </xdr:from>
    <xdr:to>
      <xdr:col>18</xdr:col>
      <xdr:colOff>444500</xdr:colOff>
      <xdr:row>56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B317A-4C2F-4B4F-2A80-7E82E8D72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F483-6833-C345-BA9D-0EF06231DA67}" name="jtrn" displayName="jtrn" ref="A1:V39" totalsRowCount="1" headerRowDxfId="319" dataDxfId="318">
  <autoFilter ref="A1:V38" xr:uid="{168AF483-6833-C345-BA9D-0EF06231DA67}"/>
  <tableColumns count="22">
    <tableColumn id="1" xr3:uid="{53007CBC-089F-9844-888D-4AFD025D21A4}" name="Movement" totalsRowLabel="Subtotal" dataDxfId="317" totalsRowDxfId="21"/>
    <tableColumn id="2" xr3:uid="{E7670F3E-FFC8-B44C-B726-CCCD0DDE580C}" name="Account Secondary" totalsRowLabel="Jeanre Transactional" dataDxfId="316" totalsRowDxfId="20"/>
    <tableColumn id="3" xr3:uid="{BC34C8F0-D5A8-A942-ACF9-3833C647F3AA}" name="2024-05-01" totalsRowFunction="custom" dataDxfId="315" totalsRowDxfId="19">
      <totalsRowFormula>SUMIF('Jeanre Transactional'!$A$2:$A$39,"Credit", 'Jeanre Transactional'!$C$2:$C$39)-SUMIF('Jeanre Transactional'!$A$2:$A$39,"Debit", 'Jeanre Transactional'!$C$2:$C$39)</totalsRowFormula>
    </tableColumn>
    <tableColumn id="4" xr3:uid="{12E99681-3EF3-154C-81F1-3C68ABFA379F}" name="2024-06-01" totalsRowFunction="custom" dataDxfId="314" totalsRowDxfId="18">
      <totalsRowFormula>SUMIF('Jeanre Transactional'!$A$2:$A$39,"Credit", 'Jeanre Transactional'!$D$2:$D$39)-SUMIF('Jeanre Transactional'!$A$2:$A$39,"Debit", 'Jeanre Transactional'!$D$2:$D$39)</totalsRowFormula>
    </tableColumn>
    <tableColumn id="5" xr3:uid="{F853A505-CD2D-424A-AB56-7C307ACC3B35}" name="2024-07-01" totalsRowFunction="custom" dataDxfId="313" totalsRowDxfId="17">
      <totalsRowFormula>SUMIF('Jeanre Transactional'!$A$2:$A$39,"Credit", 'Jeanre Transactional'!$E$2:$E$39)-SUMIF('Jeanre Transactional'!$A$2:$A$39,"Debit", 'Jeanre Transactional'!$E$2:$E$39)</totalsRowFormula>
    </tableColumn>
    <tableColumn id="6" xr3:uid="{7A5E017B-4309-9E43-8312-61D7567F2717}" name="2024-08-01" totalsRowFunction="custom" dataDxfId="312" totalsRowDxfId="16">
      <totalsRowFormula>SUMIF('Jeanre Transactional'!$A$2:$A$39,"Credit", 'Jeanre Transactional'!$F$2:$F$39)-SUMIF('Jeanre Transactional'!$A$2:$A$39,"Debit", 'Jeanre Transactional'!$F$2:$F$39)</totalsRowFormula>
    </tableColumn>
    <tableColumn id="7" xr3:uid="{35A69827-17E6-D747-80AA-A3903629E38D}" name="2024-09-01" totalsRowFunction="custom" dataDxfId="311" totalsRowDxfId="15">
      <totalsRowFormula>SUMIF('Jeanre Transactional'!$A$2:$A$39,"Credit", 'Jeanre Transactional'!$G$2:$G$39)-SUMIF('Jeanre Transactional'!$A$2:$A$39,"Debit", 'Jeanre Transactional'!$G$2:$G$39)</totalsRowFormula>
    </tableColumn>
    <tableColumn id="8" xr3:uid="{07201ECD-0600-9049-8CF3-536066F50B85}" name="2024-10-01" totalsRowFunction="custom" dataDxfId="310" totalsRowDxfId="14">
      <totalsRowFormula>SUMIF('Jeanre Transactional'!$A$2:$A$39,"Credit", 'Jeanre Transactional'!$H$2:$H$39)-SUMIF('Jeanre Transactional'!$A$2:$A$39,"Debit", 'Jeanre Transactional'!$H$2:$H$39)</totalsRowFormula>
    </tableColumn>
    <tableColumn id="9" xr3:uid="{95C89772-EB84-6148-A713-02DB6582171E}" name="2024-11-01" totalsRowFunction="custom" dataDxfId="309" totalsRowDxfId="13">
      <totalsRowFormula>SUMIF('Jeanre Transactional'!$A$2:$A$39,"Credit", 'Jeanre Transactional'!$I$2:$I$39)-SUMIF('Jeanre Transactional'!$A$2:$A$39,"Debit", 'Jeanre Transactional'!$I$2:$I$39)</totalsRowFormula>
    </tableColumn>
    <tableColumn id="10" xr3:uid="{78C2C3D1-00C3-B447-A15B-F22E336A2B58}" name="2024-12-01" totalsRowFunction="custom" dataDxfId="308" totalsRowDxfId="12">
      <totalsRowFormula>SUMIF('Jeanre Transactional'!$A$2:$A$39,"Credit", 'Jeanre Transactional'!$J$2:$J$39)-SUMIF('Jeanre Transactional'!$A$2:$A$39,"Debit", 'Jeanre Transactional'!$J$2:$J$39)</totalsRowFormula>
    </tableColumn>
    <tableColumn id="11" xr3:uid="{A6168F27-4891-0749-92DD-57A77D1DACAA}" name="2025-01-01" totalsRowFunction="custom" dataDxfId="307" totalsRowDxfId="11">
      <totalsRowFormula>SUMIF(jtrn[Movement], "Credit", jtrn[2025-01-01]) - SUMIF(jtrn[Movement], "Debit", jtrn[2025-01-01])</totalsRowFormula>
    </tableColumn>
    <tableColumn id="12" xr3:uid="{58BC0315-6C75-9548-B003-5335630C1315}" name="2025-02-01" totalsRowFunction="custom" dataDxfId="306" totalsRowDxfId="10">
      <totalsRowFormula>SUMIF(jtrn[Movement], "Credit", jtrn[2025-02-01]) - SUMIF(jtrn[Movement], "Debit", jtrn[2025-02-01])</totalsRowFormula>
    </tableColumn>
    <tableColumn id="13" xr3:uid="{896888D1-CC44-3042-B2FE-75BF30E0F183}" name="2025-03-01" totalsRowFunction="custom" dataDxfId="305" totalsRowDxfId="9">
      <totalsRowFormula>SUMIF(jtrn[Movement], "Credit", jtrn[2025-03-01]) - SUMIF(jtrn[Movement], "Debit", jtrn[2025-03-01])</totalsRowFormula>
    </tableColumn>
    <tableColumn id="14" xr3:uid="{1670E3CE-2F37-E048-813C-B7C337151740}" name="2025-04-01" totalsRowFunction="custom" dataDxfId="304" totalsRowDxfId="8">
      <totalsRowFormula>SUMIF(jtrn[Movement], "Credit", jtrn[2025-04-01]) - SUMIF(jtrn[Movement], "Debit", jtrn[2025-04-01])</totalsRowFormula>
    </tableColumn>
    <tableColumn id="15" xr3:uid="{6572C763-49E9-AA4F-9718-2BC9B7E57762}" name="2025-05-01" totalsRowFunction="custom" dataDxfId="303" totalsRowDxfId="7">
      <totalsRowFormula>SUMIF(jtrn[Movement], "Credit", jtrn[2025-05-01]) - SUMIF(jtrn[Movement], "Debit", jtrn[2025-05-01])</totalsRowFormula>
    </tableColumn>
    <tableColumn id="16" xr3:uid="{99AC582F-E016-EB4C-A534-6BAC5A7AD88A}" name="2025-06-01" totalsRowFunction="custom" dataDxfId="302" totalsRowDxfId="6">
      <totalsRowFormula>SUMIF(jtrn[Movement], "Credit", jtrn[2025-06-01]) - SUMIF(jtrn[Movement], "Debit", jtrn[2025-06-01])</totalsRowFormula>
    </tableColumn>
    <tableColumn id="17" xr3:uid="{2AFE4E94-A26F-1648-B078-CC1ACB60F61E}" name="2025-07-01" totalsRowFunction="custom" dataDxfId="301" totalsRowDxfId="5">
      <totalsRowFormula>SUMIF(jtrn[Movement], "Credit", jtrn[2025-07-01]) - SUMIF(jtrn[Movement], "Debit", jtrn[2025-07-01])</totalsRowFormula>
    </tableColumn>
    <tableColumn id="18" xr3:uid="{9169B43F-AE90-B84E-BB9B-3E2730E4B499}" name="2025-08-01" totalsRowFunction="custom" dataDxfId="300" totalsRowDxfId="4">
      <totalsRowFormula>SUMIF(jtrn[Movement], "Credit", jtrn[2025-08-01]) - SUMIF(jtrn[Movement], "Debit", jtrn[2025-08-01])</totalsRowFormula>
    </tableColumn>
    <tableColumn id="19" xr3:uid="{16A4B7C1-DCCD-BC42-80A2-5A9B0AFE62B7}" name="2025-09-01" totalsRowFunction="custom" dataDxfId="299" totalsRowDxfId="3">
      <totalsRowFormula>SUMIF(jtrn[Movement], "Credit", jtrn[2025-09-01]) - SUMIF(jtrn[Movement], "Debit", jtrn[2025-09-01])</totalsRowFormula>
    </tableColumn>
    <tableColumn id="20" xr3:uid="{DA0D9353-5004-BC49-A034-377720B302FE}" name="2025-10-01" totalsRowFunction="custom" dataDxfId="298" totalsRowDxfId="2">
      <totalsRowFormula>SUMIF(jtrn[Movement], "Credit", jtrn[2025-10-01]) - SUMIF(jtrn[Movement], "Debit", jtrn[2025-10-01])</totalsRowFormula>
    </tableColumn>
    <tableColumn id="21" xr3:uid="{2CAF52BB-84EF-4B4E-9560-96A6E500A093}" name="2025-11-01" totalsRowFunction="custom" dataDxfId="297" totalsRowDxfId="1">
      <totalsRowFormula>SUMIF(jtrn[Movement], "Credit", jtrn[2025-11-01]) - SUMIF(jtrn[Movement], "Debit", jtrn[2025-11-01])</totalsRowFormula>
    </tableColumn>
    <tableColumn id="22" xr3:uid="{2627D4F2-2727-3545-907E-0FB0C0AA352F}" name="2025-12-01" totalsRowFunction="custom" dataDxfId="296" totalsRowDxfId="0">
      <totalsRowFormula>SUMIF(jtrn[Movement], "Credit", jtrn[2025-12-01]) - SUMIF(jtrn[Movement], "Debit", jtrn[2025-12-01])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1DA390-7C62-034C-B072-5AE198A0EE1C}" name="btrn" displayName="btrn" ref="A1:W12" totalsRowShown="0" headerRowDxfId="295" dataDxfId="294">
  <autoFilter ref="A1:W12" xr:uid="{92565AF6-51CB-F740-ACD0-AD376C5F8FE0}"/>
  <tableColumns count="23">
    <tableColumn id="5" xr3:uid="{0BB631CD-7A04-8A42-B7DB-927BAF556EEE}" name="Movement" dataDxfId="293"/>
    <tableColumn id="6" xr3:uid="{F2B17D4B-E397-234D-B50E-5D377954B9CE}" name="Account Secondary" dataDxfId="292"/>
    <tableColumn id="7" xr3:uid="{224B2C86-CE9C-9740-8863-A79E9BA6474C}" name="2024-05-01" dataDxfId="291"/>
    <tableColumn id="8" xr3:uid="{86C20A53-81CA-5C44-94E5-DFEF4FEBDB46}" name="2024-06-01" dataDxfId="290"/>
    <tableColumn id="9" xr3:uid="{7A5EB71F-2A37-D94A-A511-CB581024F945}" name="2024-07-01" dataDxfId="289"/>
    <tableColumn id="10" xr3:uid="{4323FC88-E3C5-C942-A248-8725F58D05F1}" name="2024-08-01" dataDxfId="288"/>
    <tableColumn id="11" xr3:uid="{A67EE3D4-5BA4-CB4C-A243-EC07A75B9A2A}" name="2024-09-01" dataDxfId="287"/>
    <tableColumn id="12" xr3:uid="{D8311E55-3FCF-5646-9D4B-8E41AACE8122}" name="2024-10-01" dataDxfId="286"/>
    <tableColumn id="13" xr3:uid="{1068DD40-0163-AB4F-BD01-F087C1DA52FC}" name="2024-11-01" dataDxfId="285"/>
    <tableColumn id="14" xr3:uid="{1979ACD9-F9BF-B64F-8FAE-C5E1FD6DB39A}" name="2024-12-01" dataDxfId="284"/>
    <tableColumn id="1" xr3:uid="{07FFDC36-868C-D84B-8B40-7B280F43AA14}" name="2024-12-02" dataDxfId="283"/>
    <tableColumn id="2" xr3:uid="{54F50DA7-EDB6-3948-A0E4-EC5A8F72945C}" name="2025-01-01" dataDxfId="282"/>
    <tableColumn id="3" xr3:uid="{A94164EE-6277-BE48-B1FD-04E5D617461D}" name="2025-02-01" dataDxfId="281">
      <calculatedColumnFormula>SUMIF(jtrn[Movement], "Credit", jtrn[2025-02-01]) - SUMIF(jtrn[Movement], "Debit", jtrn[2025-02-01])</calculatedColumnFormula>
    </tableColumn>
    <tableColumn id="4" xr3:uid="{9338D36B-9D27-FC42-9CAC-0879E31F6B28}" name="2025-03-01" dataDxfId="280">
      <calculatedColumnFormula>SUMIF(jtrn[Movement], "Credit", jtrn[2025-03-01]) - SUMIF(jtrn[Movement], "Debit", jtrn[2025-03-01])</calculatedColumnFormula>
    </tableColumn>
    <tableColumn id="15" xr3:uid="{E058B1E3-B047-6D4C-8B10-24D98EC04D3F}" name="2025-04-01" dataDxfId="279">
      <calculatedColumnFormula>SUMIF(jtrn[Movement], "Credit", jtrn[2025-04-01]) - SUMIF(jtrn[Movement], "Debit", jtrn[2025-04-01])</calculatedColumnFormula>
    </tableColumn>
    <tableColumn id="16" xr3:uid="{02C57D3A-4C31-D248-A43C-FFA66BEF6678}" name="2025-05-01" dataDxfId="278">
      <calculatedColumnFormula>SUMIF(jtrn[Movement], "Credit", jtrn[2025-05-01]) - SUMIF(jtrn[Movement], "Debit", jtrn[2025-05-01])</calculatedColumnFormula>
    </tableColumn>
    <tableColumn id="17" xr3:uid="{787374D9-13F7-F34F-9D9D-D54BB8321633}" name="2025-06-01" dataDxfId="277">
      <calculatedColumnFormula>SUMIF(jtrn[Movement], "Credit", jtrn[2025-06-01]) - SUMIF(jtrn[Movement], "Debit", jtrn[2025-06-01])</calculatedColumnFormula>
    </tableColumn>
    <tableColumn id="18" xr3:uid="{93C8DE5A-871E-1446-8055-3D076D950934}" name="2025-07-01" dataDxfId="276">
      <calculatedColumnFormula>SUMIF(jtrn[Movement], "Credit", jtrn[2025-07-01]) - SUMIF(jtrn[Movement], "Debit", jtrn[2025-07-01])</calculatedColumnFormula>
    </tableColumn>
    <tableColumn id="19" xr3:uid="{07B050AF-799F-8C48-A7EA-53782435ED9F}" name="2025-08-01" dataDxfId="275">
      <calculatedColumnFormula>SUMIF(jtrn[Movement], "Credit", jtrn[2025-08-01]) - SUMIF(jtrn[Movement], "Debit", jtrn[2025-08-01])</calculatedColumnFormula>
    </tableColumn>
    <tableColumn id="20" xr3:uid="{8521E811-8D35-0C4A-ABDB-CA53ACA44FA3}" name="2025-09-01" dataDxfId="274">
      <calculatedColumnFormula>SUMIF(jtrn[Movement], "Credit", jtrn[2025-09-01]) - SUMIF(jtrn[Movement], "Debit", jtrn[2025-09-01])</calculatedColumnFormula>
    </tableColumn>
    <tableColumn id="21" xr3:uid="{39EFC671-FB35-2545-8336-803CB1988B5A}" name="2025-10-01" dataDxfId="273">
      <calculatedColumnFormula>SUMIF(jtrn[Movement], "Credit", jtrn[2025-10-01]) - SUMIF(jtrn[Movement], "Debit", jtrn[2025-10-01])</calculatedColumnFormula>
    </tableColumn>
    <tableColumn id="22" xr3:uid="{AD4A180E-DEAF-2843-A15D-320A2784C85B}" name="2025-11-01" dataDxfId="272">
      <calculatedColumnFormula>SUMIF(jtrn[Movement], "Credit", jtrn[2025-11-01]) - SUMIF(jtrn[Movement], "Debit", jtrn[2025-11-01])</calculatedColumnFormula>
    </tableColumn>
    <tableColumn id="23" xr3:uid="{84D7EAF0-D06E-714F-80F6-F552BFE7C2CF}" name="2025-12-01" dataDxfId="271">
      <calculatedColumnFormula>SUMIF(jtrn[Movement], "Credit", jtrn[2025-12-01]) - SUMIF(jtrn[Movement], "Debit", jtrn[2025-12-01])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388CD99-70C3-254E-A54F-AB7C92761CB1}" name="bcc_1" displayName="bcc_1" ref="A7:U17" totalsRowShown="0" headerRowDxfId="270" dataDxfId="269">
  <autoFilter ref="A7:U17" xr:uid="{D9073226-BE95-ED4B-8E84-34502A072542}"/>
  <tableColumns count="21">
    <tableColumn id="5" xr3:uid="{17B37E57-BD6E-A446-B335-98FD8C0146DD}" name="Movement" dataDxfId="268"/>
    <tableColumn id="6" xr3:uid="{8887D7EE-29BC-B44E-ADF3-2437568B639A}" name="Account Secondary" dataDxfId="267"/>
    <tableColumn id="7" xr3:uid="{F3A1989B-6B6F-5844-98BC-B10EC82D9F78}" name="2024-05-01" dataDxfId="266"/>
    <tableColumn id="8" xr3:uid="{D1A2498E-31D2-6F4B-8CC9-2FAF1EB36A71}" name="2024-06-01" dataDxfId="265"/>
    <tableColumn id="9" xr3:uid="{3D14BF31-F312-4947-B1E8-8AE36A684702}" name="2024-07-01" dataDxfId="264"/>
    <tableColumn id="10" xr3:uid="{A4D70372-DBB7-F84D-BA93-508333385EB7}" name="2024-08-01" dataDxfId="263"/>
    <tableColumn id="11" xr3:uid="{763B8A44-B1AA-8A48-928B-A09543E1729F}" name="2024-09-01" dataDxfId="262"/>
    <tableColumn id="12" xr3:uid="{3B32E0FE-85F4-2A41-B1F1-DB877926368D}" name="2024-10-01" dataDxfId="261"/>
    <tableColumn id="13" xr3:uid="{D9622311-D9B6-324C-BE06-420DFE21B4F1}" name="2024-11-01" dataDxfId="260"/>
    <tableColumn id="14" xr3:uid="{8F67EECA-9106-FA44-B867-D5B8A01FF39D}" name="2024-12-01" dataDxfId="259"/>
    <tableColumn id="1" xr3:uid="{B3F1DD99-4E8F-754A-9084-089C8310F54E}" name="2025-02-01" dataDxfId="258">
      <calculatedColumnFormula>SUMIF(btrn[Movement], "Credit", btrn[2025-02-01]) - SUMIF(btrn[Movement], "Debit", btrn[2025-02-01])</calculatedColumnFormula>
    </tableColumn>
    <tableColumn id="2" xr3:uid="{52FD6552-5D6C-024E-A120-FA04DC9C353C}" name="2025-03-01" dataDxfId="257">
      <calculatedColumnFormula>SUMIF(btrn[Movement], "Credit", btrn[2025-03-01]) - SUMIF(btrn[Movement], "Debit", btrn[2025-03-01])</calculatedColumnFormula>
    </tableColumn>
    <tableColumn id="3" xr3:uid="{21FC5584-263B-A842-B376-F56607FD1313}" name="2025-04-01" dataDxfId="256">
      <calculatedColumnFormula>SUMIF(btrn[Movement], "Credit", btrn[2025-04-01]) - SUMIF(btrn[Movement], "Debit", btrn[2025-04-01])</calculatedColumnFormula>
    </tableColumn>
    <tableColumn id="4" xr3:uid="{2A585DF9-052E-154A-81C7-C464CE48ABC6}" name="2025-05-01" dataDxfId="255">
      <calculatedColumnFormula>SUMIF(btrn[Movement], "Credit", btrn[2025-05-01]) - SUMIF(btrn[Movement], "Debit", btrn[2025-05-01])</calculatedColumnFormula>
    </tableColumn>
    <tableColumn id="15" xr3:uid="{02AF2FD0-EFCF-F34C-A7D7-FE50242DCB03}" name="2025-06-01" dataDxfId="254">
      <calculatedColumnFormula>SUMIF(btrn[Movement], "Credit", btrn[2025-06-01]) - SUMIF(btrn[Movement], "Debit", btrn[2025-06-01])</calculatedColumnFormula>
    </tableColumn>
    <tableColumn id="16" xr3:uid="{68DB76E9-3494-6049-9217-4E2A6B06F6AC}" name="2025-07-01" dataDxfId="253">
      <calculatedColumnFormula>SUMIF(btrn[Movement], "Credit", btrn[2025-07-01]) - SUMIF(btrn[Movement], "Debit", btrn[2025-07-01])</calculatedColumnFormula>
    </tableColumn>
    <tableColumn id="17" xr3:uid="{CEEE0D7F-8429-034A-BFA6-757B425089B2}" name="2025-08-01" dataDxfId="252">
      <calculatedColumnFormula>SUMIF(btrn[Movement], "Credit", btrn[2025-08-01]) - SUMIF(btrn[Movement], "Debit", btrn[2025-08-01])</calculatedColumnFormula>
    </tableColumn>
    <tableColumn id="18" xr3:uid="{EDC215EE-3B90-FE41-8C6C-BB27027C9D93}" name="2025-09-01" dataDxfId="251">
      <calculatedColumnFormula>SUMIF(btrn[Movement], "Credit", btrn[2025-09-01]) - SUMIF(btrn[Movement], "Debit", btrn[2025-09-01])</calculatedColumnFormula>
    </tableColumn>
    <tableColumn id="19" xr3:uid="{0A2D72F1-0E51-264D-814C-165426075152}" name="2025-10-01" dataDxfId="250">
      <calculatedColumnFormula>SUMIF(btrn[Movement], "Credit", btrn[2025-10-01]) - SUMIF(btrn[Movement], "Debit", btrn[2025-10-01])</calculatedColumnFormula>
    </tableColumn>
    <tableColumn id="20" xr3:uid="{7C09C66F-7AE3-5141-B9E5-A38D3422884C}" name="2025-11-01" dataDxfId="249">
      <calculatedColumnFormula>SUMIF(btrn[Movement], "Credit", btrn[2025-11-01]) - SUMIF(btrn[Movement], "Debit", btrn[2025-11-01])</calculatedColumnFormula>
    </tableColumn>
    <tableColumn id="21" xr3:uid="{1C92AE3F-5112-1743-AD92-F855CF92B377}" name="2025-12-01" dataDxfId="248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A0B269-DF27-C541-AED0-8A1AFAEABB7B}" name="Table1114" displayName="Table1114" ref="A1:B3" totalsRowShown="0">
  <autoFilter ref="A1:B3" xr:uid="{929261B4-E0D1-DD4F-A316-416BC51ACF85}"/>
  <tableColumns count="2">
    <tableColumn id="1" xr3:uid="{654F43D1-FB9F-7F42-B280-B633D21F72A7}" name="Item"/>
    <tableColumn id="2" xr3:uid="{FFE04A71-6C69-CE4E-9011-5B016DB4B1A7}" name="Am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457AD0-1A6F-6C4B-8C3B-79F35A70DD4C}" name="jcc" displayName="jcc" ref="A7:U17" totalsRowShown="0" headerRowDxfId="247" dataDxfId="246">
  <autoFilter ref="A7:U17" xr:uid="{D9073226-BE95-ED4B-8E84-34502A072542}"/>
  <tableColumns count="21">
    <tableColumn id="5" xr3:uid="{0BF52067-01F0-AA4D-BB5B-B7B91C21DF1D}" name="Movement" dataDxfId="245"/>
    <tableColumn id="6" xr3:uid="{36848A5A-BD66-3B45-88C5-0F107DFD726E}" name="Account Secondary" dataDxfId="244"/>
    <tableColumn id="7" xr3:uid="{0566D0C5-7A1B-AB49-BABA-EF21A39F77BF}" name="2024-05-01" dataDxfId="243"/>
    <tableColumn id="8" xr3:uid="{16E09DC6-7066-774D-99EC-EA21637DF674}" name="2024-06-01" dataDxfId="242"/>
    <tableColumn id="9" xr3:uid="{3611A2ED-99A6-5143-B58A-9F4DB380E0BA}" name="2024-07-01" dataDxfId="241"/>
    <tableColumn id="10" xr3:uid="{2031F46C-4622-0443-A395-6FF8FE447E72}" name="2024-08-01" dataDxfId="240"/>
    <tableColumn id="11" xr3:uid="{FEB4CC54-8E2A-BF4A-9884-6420E04791B3}" name="2024-09-01" dataDxfId="239"/>
    <tableColumn id="12" xr3:uid="{C3B762B3-FA38-0A44-AC43-0B870226B58E}" name="2024-10-01" dataDxfId="238"/>
    <tableColumn id="13" xr3:uid="{DE86A732-69A5-3D44-9686-5DECDA067D97}" name="2024-11-01" dataDxfId="237"/>
    <tableColumn id="14" xr3:uid="{5611825D-4F3B-744B-8551-E1E303B6E2A9}" name="2024-12-01" dataDxfId="236"/>
    <tableColumn id="1" xr3:uid="{B56DD893-6543-9946-A7BA-672E047EF200}" name="2025-02-01" dataDxfId="235">
      <calculatedColumnFormula>SUMIF(btrn[Movement], "Credit", btrn[2025-02-01]) - SUMIF(btrn[Movement], "Debit", btrn[2025-02-01])</calculatedColumnFormula>
    </tableColumn>
    <tableColumn id="2" xr3:uid="{3A799F2C-5CA0-584C-8D92-D8826E06E46C}" name="2025-03-01" dataDxfId="234">
      <calculatedColumnFormula>SUMIF(btrn[Movement], "Credit", btrn[2025-03-01]) - SUMIF(btrn[Movement], "Debit", btrn[2025-03-01])</calculatedColumnFormula>
    </tableColumn>
    <tableColumn id="3" xr3:uid="{B19F0E78-551C-8A41-9B1F-EC46C8C85ABA}" name="2025-04-01" dataDxfId="233">
      <calculatedColumnFormula>SUMIF(btrn[Movement], "Credit", btrn[2025-04-01]) - SUMIF(btrn[Movement], "Debit", btrn[2025-04-01])</calculatedColumnFormula>
    </tableColumn>
    <tableColumn id="4" xr3:uid="{53F37C4F-F4B6-ED4E-ADE0-DDE9966E9521}" name="2025-05-01" dataDxfId="232">
      <calculatedColumnFormula>SUMIF(btrn[Movement], "Credit", btrn[2025-05-01]) - SUMIF(btrn[Movement], "Debit", btrn[2025-05-01])</calculatedColumnFormula>
    </tableColumn>
    <tableColumn id="15" xr3:uid="{6F72EB0F-159A-EA45-ADB0-713265371A7A}" name="2025-06-01" dataDxfId="231">
      <calculatedColumnFormula>SUMIF(btrn[Movement], "Credit", btrn[2025-06-01]) - SUMIF(btrn[Movement], "Debit", btrn[2025-06-01])</calculatedColumnFormula>
    </tableColumn>
    <tableColumn id="16" xr3:uid="{45E288DA-5974-1443-B4F0-3F015AFF664A}" name="2025-07-01" dataDxfId="230">
      <calculatedColumnFormula>SUMIF(btrn[Movement], "Credit", btrn[2025-07-01]) - SUMIF(btrn[Movement], "Debit", btrn[2025-07-01])</calculatedColumnFormula>
    </tableColumn>
    <tableColumn id="17" xr3:uid="{0FC86696-ABEB-4C48-80D5-A1FE7150A7E7}" name="2025-08-01" dataDxfId="229">
      <calculatedColumnFormula>SUMIF(btrn[Movement], "Credit", btrn[2025-08-01]) - SUMIF(btrn[Movement], "Debit", btrn[2025-08-01])</calculatedColumnFormula>
    </tableColumn>
    <tableColumn id="18" xr3:uid="{A3237D9B-3536-B94C-AA2C-54D1374DA12A}" name="2025-09-01" dataDxfId="228">
      <calculatedColumnFormula>SUMIF(btrn[Movement], "Credit", btrn[2025-09-01]) - SUMIF(btrn[Movement], "Debit", btrn[2025-09-01])</calculatedColumnFormula>
    </tableColumn>
    <tableColumn id="19" xr3:uid="{0321D6CE-0B18-4442-89FB-36BE669C2816}" name="2025-10-01" dataDxfId="227">
      <calculatedColumnFormula>SUMIF(btrn[Movement], "Credit", btrn[2025-10-01]) - SUMIF(btrn[Movement], "Debit", btrn[2025-10-01])</calculatedColumnFormula>
    </tableColumn>
    <tableColumn id="20" xr3:uid="{B24D6554-72D6-4A44-AF59-7CB7561F6D75}" name="2025-11-01" dataDxfId="226">
      <calculatedColumnFormula>SUMIF(btrn[Movement], "Credit", btrn[2025-11-01]) - SUMIF(btrn[Movement], "Debit", btrn[2025-11-01])</calculatedColumnFormula>
    </tableColumn>
    <tableColumn id="21" xr3:uid="{3DD65539-7D4C-8E46-9466-06EF8CEC4FE7}" name="2025-12-01" dataDxfId="225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9261B4-E0D1-DD4F-A316-416BC51ACF85}" name="Table11" displayName="Table11" ref="A1:B3" totalsRowShown="0">
  <autoFilter ref="A1:B3" xr:uid="{929261B4-E0D1-DD4F-A316-416BC51ACF85}"/>
  <tableColumns count="2">
    <tableColumn id="1" xr3:uid="{B1ECFF61-3406-8B42-83E4-2A30F9CAF88D}" name="Item"/>
    <tableColumn id="2" xr3:uid="{C7D3212A-9284-2A41-B99E-D9598F882749}" name="Am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4C2A8A-A83E-704E-8265-40FE4C35254D}" name="Table3289" displayName="Table3289" ref="A1:AH4" totalsRowCount="1" headerRowDxfId="224" dataDxfId="223">
  <autoFilter ref="A1:AH3" xr:uid="{92565AF6-51CB-F740-ACD0-AD376C5F8FE0}"/>
  <tableColumns count="34">
    <tableColumn id="1" xr3:uid="{48C7FEF4-77BD-9541-BE84-1814C3078641}" name="Movement" totalsRowLabel="Subtotal" dataDxfId="222" totalsRowDxfId="221"/>
    <tableColumn id="6" xr3:uid="{8363580B-2FC4-DF47-8BAB-B104EA5DEB86}" name="Account Secondary" totalsRowLabel="Home Loan" dataDxfId="220" totalsRowDxfId="219"/>
    <tableColumn id="7" xr3:uid="{361D3CD3-A32A-B64C-A7D7-E6E15865CDC7}" name="2024-05-01" totalsRowFunction="custom" dataDxfId="218" totalsRowDxfId="217">
      <totalsRowFormula>SUMIF(Table3289[[Movement]:[Movement]],"Credit", Table3289[2024-05-01])-SUMIF(Table3289[[Movement]:[Movement]],"Debit", Table3289[2024-05-01])</totalsRowFormula>
    </tableColumn>
    <tableColumn id="8" xr3:uid="{BE34F460-9E3B-DB44-936C-9CA885B06C0E}" name="2024-06-01" totalsRowFunction="custom" dataDxfId="216" totalsRowDxfId="215">
      <totalsRowFormula>SUMIF(Table3289[[Movement]:[Movement]],"Credit", Table3289[2024-06-01])-SUMIF(Table3289[[Movement]:[Movement]],"Debit", Table3289[2024-06-01])</totalsRowFormula>
    </tableColumn>
    <tableColumn id="9" xr3:uid="{115C1358-9F14-824C-B8C4-2180BC020306}" name="2024-07-01" totalsRowFunction="custom" dataDxfId="214" totalsRowDxfId="213">
      <totalsRowFormula>SUMIF(Table3289[[Movement]:[Movement]],"Credit", Table3289[2024-07-01])-SUMIF(Table3289[[Movement]:[Movement]],"Debit", Table3289[2024-07-01])</totalsRowFormula>
    </tableColumn>
    <tableColumn id="10" xr3:uid="{490B6A8A-72F5-F142-AC3D-7CA932C6B8E7}" name="2024-08-01" totalsRowFunction="custom" dataDxfId="212" totalsRowDxfId="211">
      <totalsRowFormula>SUMIF(Table3289[[Movement]:[Movement]],"Credit", Table3289[2024-08-01])-SUMIF(Table3289[[Movement]:[Movement]],"Debit", Table3289[2024-08-01])</totalsRowFormula>
    </tableColumn>
    <tableColumn id="11" xr3:uid="{7F1D73FB-1C53-A349-9F25-72A48DA5F547}" name="2024-09-01" totalsRowFunction="custom" dataDxfId="210" totalsRowDxfId="209">
      <totalsRowFormula>SUMIF(Table3289[[Movement]:[Movement]],"Credit", Table3289[2024-09-01])-SUMIF(Table3289[[Movement]:[Movement]],"Debit", Table3289[2024-09-01])</totalsRowFormula>
    </tableColumn>
    <tableColumn id="12" xr3:uid="{470D3BB0-3DFD-AA44-B671-0A78677BC302}" name="2024-10-01" totalsRowFunction="custom" dataDxfId="208" totalsRowDxfId="207">
      <totalsRowFormula>SUMIF(Table3289[[Movement]:[Movement]],"Credit", Table3289[2024-10-01])-SUMIF(Table3289[[Movement]:[Movement]],"Debit", Table3289[2024-10-01])</totalsRowFormula>
    </tableColumn>
    <tableColumn id="13" xr3:uid="{34967616-EB00-7D40-8944-A10755742047}" name="2024-11-01" totalsRowFunction="custom" dataDxfId="206" totalsRowDxfId="205">
      <totalsRowFormula>SUMIF(Table3289[[Movement]:[Movement]],"Credit", Table3289[2024-11-01])-SUMIF(Table3289[[Movement]:[Movement]],"Debit", Table3289[2024-11-01])</totalsRowFormula>
    </tableColumn>
    <tableColumn id="14" xr3:uid="{0BF7EFB4-D321-5A4F-BF26-8639E699A99A}" name="2024-12-01" totalsRowFunction="custom" dataDxfId="204" totalsRowDxfId="203">
      <totalsRowFormula>SUMIF(Table3289[[Movement]:[Movement]],"Credit", Table3289[2024-12-01])-SUMIF(Table3289[[Movement]:[Movement]],"Debit", Table3289[2024-12-01])</totalsRowFormula>
    </tableColumn>
    <tableColumn id="15" xr3:uid="{A3B5416C-8F32-C446-B3C7-78BAD8ED1940}" name="2025-01-01" totalsRowFunction="custom" dataDxfId="202" totalsRowDxfId="201">
      <totalsRowFormula>SUMIF(Table3289[[Movement]:[Movement]],"Credit", Table3289[2025-01-01])-SUMIF(Table3289[[Movement]:[Movement]],"Debit", Table3289[2025-01-01])</totalsRowFormula>
    </tableColumn>
    <tableColumn id="16" xr3:uid="{3D115D52-45AF-4549-9623-9E7185C52C27}" name="2025-02-01" totalsRowFunction="custom" dataDxfId="200" totalsRowDxfId="199">
      <totalsRowFormula>SUMIF(Table3289[[Movement]:[Movement]],"Credit", Table3289[2025-02-01])-SUMIF(Table3289[[Movement]:[Movement]],"Debit", Table3289[2025-02-01])</totalsRowFormula>
    </tableColumn>
    <tableColumn id="17" xr3:uid="{DE8104AD-FD99-D447-AD96-D73BE65591A3}" name="2025-03-01" totalsRowFunction="custom" dataDxfId="198" totalsRowDxfId="197">
      <totalsRowFormula>SUMIF(Table3289[[Movement]:[Movement]],"Credit", Table3289[2025-03-01])-SUMIF(Table3289[[Movement]:[Movement]],"Debit", Table3289[2025-03-01])</totalsRowFormula>
    </tableColumn>
    <tableColumn id="18" xr3:uid="{6E4CC138-CAFD-B641-9B0C-7567D84052E2}" name="2025-04-01" totalsRowFunction="custom" dataDxfId="196" totalsRowDxfId="195">
      <totalsRowFormula>SUMIF(Table3289[[Movement]:[Movement]],"Credit", Table3289[2025-04-01])-SUMIF(Table3289[[Movement]:[Movement]],"Debit", Table3289[2025-04-01])</totalsRowFormula>
    </tableColumn>
    <tableColumn id="19" xr3:uid="{99987F0C-BA51-0348-A107-82772A410615}" name="2025-05-01" totalsRowFunction="custom" dataDxfId="194" totalsRowDxfId="193">
      <totalsRowFormula>SUMIF(Table3289[[Movement]:[Movement]],"Credit", Table3289[2025-05-01])-SUMIF(Table3289[[Movement]:[Movement]],"Debit", Table3289[2025-05-01])</totalsRowFormula>
    </tableColumn>
    <tableColumn id="20" xr3:uid="{C04181CC-4FB8-184B-A82D-64489A6A7782}" name="2025-06-01" totalsRowFunction="custom" dataDxfId="192" totalsRowDxfId="191">
      <totalsRowFormula>SUMIF(Table3289[[Movement]:[Movement]],"Credit", Table3289[2025-06-01])-SUMIF(Table3289[[Movement]:[Movement]],"Debit", Table3289[2025-06-01])</totalsRowFormula>
    </tableColumn>
    <tableColumn id="21" xr3:uid="{42825BAA-0D21-8E44-A1B6-1939ACE58972}" name="2025-07-01" totalsRowFunction="custom" dataDxfId="190" totalsRowDxfId="189">
      <totalsRowFormula>SUMIF(Table3289[[Movement]:[Movement]],"Credit", Table3289[2025-07-01])-SUMIF(Table3289[[Movement]:[Movement]],"Debit", Table3289[2025-07-01])</totalsRowFormula>
    </tableColumn>
    <tableColumn id="22" xr3:uid="{AD92FF0A-8AD9-0344-81B9-55C2B230B865}" name="2025-08-01" totalsRowFunction="custom" dataDxfId="188" totalsRowDxfId="187">
      <totalsRowFormula>SUMIF(Table3289[[Movement]:[Movement]],"Credit", Table3289[2025-08-01])-SUMIF(Table3289[[Movement]:[Movement]],"Debit", Table3289[2025-08-01])</totalsRowFormula>
    </tableColumn>
    <tableColumn id="23" xr3:uid="{2DDACB28-8008-F443-8C0D-06A14AC8296D}" name="2025-09-01" totalsRowFunction="custom" dataDxfId="186" totalsRowDxfId="185">
      <totalsRowFormula>SUMIF(Table3289[[Movement]:[Movement]],"Credit", Table3289[2025-09-01])-SUMIF(Table3289[[Movement]:[Movement]],"Debit", Table3289[2025-09-01])</totalsRowFormula>
    </tableColumn>
    <tableColumn id="24" xr3:uid="{0A5AE536-EC61-1141-A06B-37DC0C001F71}" name="2025-10-01" totalsRowFunction="custom" dataDxfId="184" totalsRowDxfId="183">
      <totalsRowFormula>SUMIF(Table3289[[Movement]:[Movement]],"Credit", Table3289[2025-10-01])-SUMIF(Table3289[[Movement]:[Movement]],"Debit", Table3289[2025-10-01])</totalsRowFormula>
    </tableColumn>
    <tableColumn id="25" xr3:uid="{4C00878B-495D-2C49-8C85-7C28902A97B5}" name="2025-11-01" totalsRowFunction="custom" dataDxfId="182" totalsRowDxfId="181">
      <totalsRowFormula>SUMIF(Table3289[[Movement]:[Movement]],"Credit", Table3289[2025-11-01])-SUMIF(Table3289[[Movement]:[Movement]],"Debit", Table3289[2025-11-01])</totalsRowFormula>
    </tableColumn>
    <tableColumn id="26" xr3:uid="{758E9F31-04D9-AD47-A369-6DCDE2587B37}" name="2025-12-01" totalsRowFunction="custom" dataDxfId="180" totalsRowDxfId="179">
      <totalsRowFormula>SUMIF(Table3289[[Movement]:[Movement]],"Credit", Table3289[2025-12-01])-SUMIF(Table3289[[Movement]:[Movement]],"Debit", Table3289[2025-12-01])</totalsRowFormula>
    </tableColumn>
    <tableColumn id="27" xr3:uid="{214013F7-4571-0C4C-BC3F-923B8C5D82CA}" name="2026-01-01" totalsRowFunction="custom" dataDxfId="178" totalsRowDxfId="177">
      <totalsRowFormula>SUMIF(Table3289[[Movement]:[Movement]],"Credit", Table3289[2026-01-01])-SUMIF(Table3289[[Movement]:[Movement]],"Debit", Table3289[2026-01-01])</totalsRowFormula>
    </tableColumn>
    <tableColumn id="28" xr3:uid="{299EBDEC-587A-EB4C-912B-4FCCBA015BF7}" name="2026-02-01" totalsRowFunction="custom" dataDxfId="176" totalsRowDxfId="175">
      <totalsRowFormula>SUMIF(Table3289[[Movement]:[Movement]],"Credit", Table3289[2026-02-01])-SUMIF(Table3289[[Movement]:[Movement]],"Debit", Table3289[2026-02-01])</totalsRowFormula>
    </tableColumn>
    <tableColumn id="29" xr3:uid="{0E069F34-0524-2C49-AFA9-D20E1C826857}" name="2026-03-01" totalsRowFunction="custom" dataDxfId="174" totalsRowDxfId="173">
      <totalsRowFormula>SUMIF(Table3289[[Movement]:[Movement]],"Credit", Table3289[2026-03-01])-SUMIF(Table3289[[Movement]:[Movement]],"Debit", Table3289[2026-03-01])</totalsRowFormula>
    </tableColumn>
    <tableColumn id="30" xr3:uid="{B2997A8B-BDE6-8A41-A632-EE2C21E7289E}" name="2026-04-01" totalsRowFunction="custom" dataDxfId="172" totalsRowDxfId="171">
      <totalsRowFormula>SUMIF(Table3289[[Movement]:[Movement]],"Credit", Table3289[2026-04-01])-SUMIF(Table3289[[Movement]:[Movement]],"Debit", Table3289[2026-04-01])</totalsRowFormula>
    </tableColumn>
    <tableColumn id="31" xr3:uid="{9366D011-DE9D-EA4C-9809-5DA5CFBB80D3}" name="2026-05-01" totalsRowFunction="custom" dataDxfId="170" totalsRowDxfId="169">
      <totalsRowFormula>SUMIF(Table3289[[Movement]:[Movement]],"Credit", Table3289[2026-05-01])-SUMIF(Table3289[[Movement]:[Movement]],"Debit", Table3289[2026-05-01])</totalsRowFormula>
    </tableColumn>
    <tableColumn id="32" xr3:uid="{DDCEB168-CAE9-3343-835F-17ABF4740AF7}" name="2026-06-01" totalsRowFunction="custom" dataDxfId="168" totalsRowDxfId="167">
      <totalsRowFormula>SUMIF(Table3289[[Movement]:[Movement]],"Credit", Table3289[2026-06-01])-SUMIF(Table3289[[Movement]:[Movement]],"Debit", Table3289[2026-06-01])</totalsRowFormula>
    </tableColumn>
    <tableColumn id="33" xr3:uid="{B9F47156-145B-6945-851F-D6FBCB1CAC31}" name="2026-07-01" totalsRowFunction="custom" dataDxfId="166" totalsRowDxfId="165">
      <totalsRowFormula>SUMIF(Table3289[[Movement]:[Movement]],"Credit", Table3289[2026-07-01])-SUMIF(Table3289[[Movement]:[Movement]],"Debit", Table3289[2026-07-01])</totalsRowFormula>
    </tableColumn>
    <tableColumn id="34" xr3:uid="{969FB425-1B4E-6B44-B5CF-57F633CA7256}" name="2026-08-01" totalsRowFunction="custom" dataDxfId="164" totalsRowDxfId="163">
      <totalsRowFormula>SUMIF(Table3289[[Movement]:[Movement]],"Credit", Table3289[2026-08-01])-SUMIF(Table3289[[Movement]:[Movement]],"Debit", Table3289[2026-08-01])</totalsRowFormula>
    </tableColumn>
    <tableColumn id="35" xr3:uid="{AFB10C83-43CE-6144-9AA9-ED255E5D3760}" name="2026-09-01" totalsRowFunction="custom" dataDxfId="162" totalsRowDxfId="161">
      <totalsRowFormula>SUMIF(Table3289[[Movement]:[Movement]],"Credit", Table3289[2026-09-01])-SUMIF(Table3289[[Movement]:[Movement]],"Debit", Table3289[2026-09-01])</totalsRowFormula>
    </tableColumn>
    <tableColumn id="36" xr3:uid="{D0F17942-47F3-5447-A598-FA5FB0EBEA32}" name="2026-10-01" totalsRowFunction="custom" dataDxfId="160" totalsRowDxfId="159">
      <totalsRowFormula>SUMIF(Table3289[[Movement]:[Movement]],"Credit", Table3289[2026-10-01])-SUMIF(Table3289[[Movement]:[Movement]],"Debit", Table3289[2026-10-01])</totalsRowFormula>
    </tableColumn>
    <tableColumn id="37" xr3:uid="{098D39D9-4DBB-7741-98D7-000AA121B3B3}" name="2026-11-01" totalsRowFunction="custom" dataDxfId="158" totalsRowDxfId="157">
      <totalsRowFormula>SUMIF(Table3289[[Movement]:[Movement]],"Credit", Table3289[2026-11-01])-SUMIF(Table3289[[Movement]:[Movement]],"Debit", Table3289[2026-11-01])</totalsRowFormula>
    </tableColumn>
    <tableColumn id="38" xr3:uid="{F91A180A-11F2-E845-BCCA-20F78E9ED3EF}" name="2026-12-01" totalsRowFunction="custom" dataDxfId="156" totalsRowDxfId="155">
      <totalsRowFormula>SUMIF(Table3289[[Movement]:[Movement]],"Credit", Table3289[2026-12-01])-SUMIF(Table3289[[Movement]:[Movement]],"Debit", Table3289[2026-12-01])</totalsRow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702B49-2777-3448-9DCF-365AAD4235B1}" name="Table328" displayName="Table328" ref="A1:AH9" totalsRowCount="1" headerRowDxfId="154" dataDxfId="153">
  <autoFilter ref="A1:AH8" xr:uid="{92565AF6-51CB-F740-ACD0-AD376C5F8FE0}"/>
  <tableColumns count="34">
    <tableColumn id="1" xr3:uid="{132F1BF4-3588-8A4B-8F98-DB76AAE601DC}" name="Movement" totalsRowLabel="Subtotal" dataDxfId="152" totalsRowDxfId="151"/>
    <tableColumn id="6" xr3:uid="{81ACCF9B-B060-EC46-8372-B215BC3E24E6}" name="Account Secondary" totalsRowLabel="Jodine U" dataDxfId="150" totalsRowDxfId="149"/>
    <tableColumn id="7" xr3:uid="{984BE13D-B3F0-4141-8171-AF453C2EDE3E}" name="2024-05-01" totalsRowFunction="custom" dataDxfId="148" totalsRowDxfId="147">
      <totalsRowFormula>SUMIF(Table328[[Movement]:[Movement]],"Credit", Table328[2024-05-01])-SUMIF(Table328[[Movement]:[Movement]],"Debit", Table328[2024-05-01])</totalsRowFormula>
    </tableColumn>
    <tableColumn id="8" xr3:uid="{2BB3D3C5-F012-FD47-A358-58BB6A556D7D}" name="2024-06-01" totalsRowFunction="custom" dataDxfId="146" totalsRowDxfId="145">
      <totalsRowFormula>SUMIF(Table328[[Movement]:[Movement]],"Credit", Table328[2024-06-01])-SUMIF(Table328[[Movement]:[Movement]],"Debit", Table328[2024-06-01])</totalsRowFormula>
    </tableColumn>
    <tableColumn id="9" xr3:uid="{EBB6AB3B-A446-DB4F-8264-72B3190C9CED}" name="2024-07-01" totalsRowFunction="custom" dataDxfId="144" totalsRowDxfId="143">
      <totalsRowFormula>SUMIF(Table328[[Movement]:[Movement]],"Credit", Table328[2024-07-01])-SUMIF(Table328[[Movement]:[Movement]],"Debit", Table328[2024-07-01])</totalsRowFormula>
    </tableColumn>
    <tableColumn id="10" xr3:uid="{DBE96D9B-9F27-8F47-86E4-7AAF262DF5C8}" name="2024-08-01" totalsRowFunction="custom" dataDxfId="142" totalsRowDxfId="141">
      <totalsRowFormula>SUMIF(Table328[[Movement]:[Movement]],"Credit", Table328[2024-08-01])-SUMIF(Table328[[Movement]:[Movement]],"Debit", Table328[2024-08-01])</totalsRowFormula>
    </tableColumn>
    <tableColumn id="11" xr3:uid="{6462287A-231A-F94A-AFF2-718E314EBE0D}" name="2024-09-01" totalsRowFunction="custom" dataDxfId="140" totalsRowDxfId="139">
      <totalsRowFormula>SUMIF(Table328[[Movement]:[Movement]],"Credit", Table328[2024-09-01])-SUMIF(Table328[[Movement]:[Movement]],"Debit", Table328[2024-09-01])</totalsRowFormula>
    </tableColumn>
    <tableColumn id="12" xr3:uid="{7D2A10AB-97F3-9446-95E7-2824AB9C1D8B}" name="2024-10-01" totalsRowFunction="custom" dataDxfId="138" totalsRowDxfId="137">
      <totalsRowFormula>SUMIF(Table328[[Movement]:[Movement]],"Credit", Table328[2024-10-01])-SUMIF(Table328[[Movement]:[Movement]],"Debit", Table328[2024-10-01])</totalsRowFormula>
    </tableColumn>
    <tableColumn id="13" xr3:uid="{85B33C4E-94DF-EC4C-8640-5B925E92396A}" name="2024-11-01" totalsRowFunction="custom" dataDxfId="136" totalsRowDxfId="135">
      <totalsRowFormula>SUMIF(Table328[[Movement]:[Movement]],"Credit", Table328[2024-11-01])-SUMIF(Table328[[Movement]:[Movement]],"Debit", Table328[2024-11-01])</totalsRowFormula>
    </tableColumn>
    <tableColumn id="14" xr3:uid="{54118784-7FBB-8442-9E75-D434EAE0D358}" name="2024-12-01" totalsRowFunction="custom" dataDxfId="134" totalsRowDxfId="133">
      <totalsRowFormula>SUMIF(Table328[[Movement]:[Movement]],"Credit", Table328[2024-12-01])-SUMIF(Table328[[Movement]:[Movement]],"Debit", Table328[2024-12-01])</totalsRowFormula>
    </tableColumn>
    <tableColumn id="15" xr3:uid="{11E91D47-A42F-6F4F-8643-BBA17A2766CE}" name="2025-01-01" totalsRowFunction="custom" dataDxfId="132" totalsRowDxfId="131">
      <totalsRowFormula>SUMIF(Table328[[Movement]:[Movement]],"Credit", Table328[2025-01-01])-SUMIF(Table328[[Movement]:[Movement]],"Debit", Table328[2025-01-01])</totalsRowFormula>
    </tableColumn>
    <tableColumn id="16" xr3:uid="{A9F69F66-C1FE-A346-BC10-3BD28F4560DC}" name="2025-02-01" totalsRowFunction="custom" dataDxfId="130" totalsRowDxfId="129">
      <totalsRowFormula>SUMIF(Table328[[Movement]:[Movement]],"Credit", Table328[2025-02-01])-SUMIF(Table328[[Movement]:[Movement]],"Debit", Table328[2025-02-01])</totalsRowFormula>
    </tableColumn>
    <tableColumn id="17" xr3:uid="{F4313802-9F49-A249-829D-BE1DAC00470C}" name="2025-03-01" totalsRowFunction="custom" dataDxfId="128" totalsRowDxfId="127">
      <totalsRowFormula>SUMIF(Table328[[Movement]:[Movement]],"Credit", Table328[2025-03-01])-SUMIF(Table328[[Movement]:[Movement]],"Debit", Table328[2025-03-01])</totalsRowFormula>
    </tableColumn>
    <tableColumn id="18" xr3:uid="{70DCD78C-734A-2A4F-96D9-75E2F722BBEF}" name="2025-04-01" totalsRowFunction="custom" dataDxfId="126" totalsRowDxfId="125">
      <totalsRowFormula>SUMIF(Table328[[Movement]:[Movement]],"Credit", Table328[2025-04-01])-SUMIF(Table328[[Movement]:[Movement]],"Debit", Table328[2025-04-01])</totalsRowFormula>
    </tableColumn>
    <tableColumn id="19" xr3:uid="{3CB93C70-C607-C849-9D6E-A12F48DB0917}" name="2025-05-01" totalsRowFunction="custom" dataDxfId="124" totalsRowDxfId="123">
      <totalsRowFormula>SUMIF(Table328[[Movement]:[Movement]],"Credit", Table328[2025-05-01])-SUMIF(Table328[[Movement]:[Movement]],"Debit", Table328[2025-05-01])</totalsRowFormula>
    </tableColumn>
    <tableColumn id="20" xr3:uid="{8B2DFDEA-F50F-564E-88EB-40B3ADE38284}" name="2025-06-01" totalsRowFunction="custom" dataDxfId="122" totalsRowDxfId="121">
      <totalsRowFormula>SUMIF(Table328[[Movement]:[Movement]],"Credit", Table328[2025-06-01])-SUMIF(Table328[[Movement]:[Movement]],"Debit", Table328[2025-06-01])</totalsRowFormula>
    </tableColumn>
    <tableColumn id="21" xr3:uid="{91AB2B18-50E8-D042-B65D-FE4C52807967}" name="2025-07-01" totalsRowFunction="custom" dataDxfId="120" totalsRowDxfId="119">
      <totalsRowFormula>SUMIF(Table328[[Movement]:[Movement]],"Credit", Table328[2025-07-01])-SUMIF(Table328[[Movement]:[Movement]],"Debit", Table328[2025-07-01])</totalsRowFormula>
    </tableColumn>
    <tableColumn id="22" xr3:uid="{1B34BB85-1C48-D24A-AECB-C60DA7FC690D}" name="2025-08-01" totalsRowFunction="custom" dataDxfId="118" totalsRowDxfId="117">
      <totalsRowFormula>SUMIF(Table328[[Movement]:[Movement]],"Credit", Table328[2025-08-01])-SUMIF(Table328[[Movement]:[Movement]],"Debit", Table328[2025-08-01])</totalsRowFormula>
    </tableColumn>
    <tableColumn id="23" xr3:uid="{6AA34C9A-7D16-4045-8E67-CAA0588D1E20}" name="2025-09-01" totalsRowFunction="custom" dataDxfId="116" totalsRowDxfId="115">
      <totalsRowFormula>SUMIF(Table328[[Movement]:[Movement]],"Credit", Table328[2025-09-01])-SUMIF(Table328[[Movement]:[Movement]],"Debit", Table328[2025-09-01])</totalsRowFormula>
    </tableColumn>
    <tableColumn id="24" xr3:uid="{F76057EE-251C-8347-AA7B-C0BD03E23E1B}" name="2025-10-01" totalsRowFunction="custom" dataDxfId="114" totalsRowDxfId="113">
      <totalsRowFormula>SUMIF(Table328[[Movement]:[Movement]],"Credit", Table328[2025-10-01])-SUMIF(Table328[[Movement]:[Movement]],"Debit", Table328[2025-10-01])</totalsRowFormula>
    </tableColumn>
    <tableColumn id="25" xr3:uid="{B3CED7D0-5665-8843-BB8D-DD4B2D475330}" name="2025-11-01" totalsRowFunction="custom" dataDxfId="112" totalsRowDxfId="111">
      <totalsRowFormula>SUMIF(Table328[[Movement]:[Movement]],"Credit", Table328[2025-11-01])-SUMIF(Table328[[Movement]:[Movement]],"Debit", Table328[2025-11-01])</totalsRowFormula>
    </tableColumn>
    <tableColumn id="26" xr3:uid="{17986AF3-FF29-0945-9531-7F4A42463D68}" name="2025-12-01" totalsRowFunction="custom" dataDxfId="110" totalsRowDxfId="109">
      <totalsRowFormula>SUMIF(Table328[[Movement]:[Movement]],"Credit", Table328[2025-12-01])-SUMIF(Table328[[Movement]:[Movement]],"Debit", Table328[2025-12-01])</totalsRowFormula>
    </tableColumn>
    <tableColumn id="27" xr3:uid="{A0E3385D-60FC-124E-ACB2-3CF5068E197E}" name="2026-01-01" totalsRowFunction="custom" dataDxfId="108" totalsRowDxfId="107">
      <totalsRowFormula>SUMIF(Table328[[Movement]:[Movement]],"Credit", Table328[2026-01-01])-SUMIF(Table328[[Movement]:[Movement]],"Debit", Table328[2026-01-01])</totalsRowFormula>
    </tableColumn>
    <tableColumn id="28" xr3:uid="{2B18E388-6340-864F-94E0-B6C712B3E140}" name="2026-02-01" totalsRowFunction="custom" dataDxfId="106" totalsRowDxfId="105">
      <totalsRowFormula>SUMIF(Table328[[Movement]:[Movement]],"Credit", Table328[2026-02-01])-SUMIF(Table328[[Movement]:[Movement]],"Debit", Table328[2026-02-01])</totalsRowFormula>
    </tableColumn>
    <tableColumn id="29" xr3:uid="{A56D1D1A-BCDD-3A4E-996A-4D01DADFF67B}" name="2026-03-01" totalsRowFunction="custom" dataDxfId="104" totalsRowDxfId="103">
      <totalsRowFormula>SUMIF(Table328[[Movement]:[Movement]],"Credit", Table328[2026-03-01])-SUMIF(Table328[[Movement]:[Movement]],"Debit", Table328[2026-03-01])</totalsRowFormula>
    </tableColumn>
    <tableColumn id="30" xr3:uid="{A90A62ED-9074-8848-A318-D26D567C3D87}" name="2026-04-01" totalsRowFunction="custom" dataDxfId="102" totalsRowDxfId="101">
      <totalsRowFormula>SUMIF(Table328[[Movement]:[Movement]],"Credit", Table328[2026-04-01])-SUMIF(Table328[[Movement]:[Movement]],"Debit", Table328[2026-04-01])</totalsRowFormula>
    </tableColumn>
    <tableColumn id="31" xr3:uid="{FC125C77-2688-F547-86F6-9B4B045F6EEF}" name="2026-05-01" totalsRowFunction="custom" dataDxfId="100" totalsRowDxfId="99">
      <totalsRowFormula>SUMIF(Table328[[Movement]:[Movement]],"Credit", Table328[2026-05-01])-SUMIF(Table328[[Movement]:[Movement]],"Debit", Table328[2026-05-01])</totalsRowFormula>
    </tableColumn>
    <tableColumn id="32" xr3:uid="{3A8C66D0-0121-B94A-963B-D4F350471546}" name="2026-06-01" totalsRowFunction="custom" dataDxfId="98" totalsRowDxfId="97">
      <totalsRowFormula>SUMIF(Table328[[Movement]:[Movement]],"Credit", Table328[2026-06-01])-SUMIF(Table328[[Movement]:[Movement]],"Debit", Table328[2026-06-01])</totalsRowFormula>
    </tableColumn>
    <tableColumn id="33" xr3:uid="{8BB2DE1C-C13D-B840-A57E-E8E08A13B45E}" name="2026-07-01" totalsRowFunction="custom" dataDxfId="96" totalsRowDxfId="95">
      <totalsRowFormula>SUMIF(Table328[[Movement]:[Movement]],"Credit", Table328[2026-07-01])-SUMIF(Table328[[Movement]:[Movement]],"Debit", Table328[2026-07-01])</totalsRowFormula>
    </tableColumn>
    <tableColumn id="34" xr3:uid="{8DA66CDB-6161-CC4D-A571-DD72FF861D17}" name="2026-08-01" totalsRowFunction="custom" dataDxfId="94" totalsRowDxfId="93">
      <totalsRowFormula>SUMIF(Table328[[Movement]:[Movement]],"Credit", Table328[2026-08-01])-SUMIF(Table328[[Movement]:[Movement]],"Debit", Table328[2026-08-01])</totalsRowFormula>
    </tableColumn>
    <tableColumn id="35" xr3:uid="{4E89C43D-38B3-564B-B587-E203230DA850}" name="2026-09-01" totalsRowFunction="custom" dataDxfId="92" totalsRowDxfId="91">
      <totalsRowFormula>SUMIF(Table328[[Movement]:[Movement]],"Credit", Table328[2026-09-01])-SUMIF(Table328[[Movement]:[Movement]],"Debit", Table328[2026-09-01])</totalsRowFormula>
    </tableColumn>
    <tableColumn id="36" xr3:uid="{4DE10C26-4FB6-3F4C-BA3A-36166F4CC466}" name="2026-10-01" totalsRowFunction="custom" dataDxfId="90" totalsRowDxfId="89">
      <totalsRowFormula>SUMIF(Table328[[Movement]:[Movement]],"Credit", Table328[2026-10-01])-SUMIF(Table328[[Movement]:[Movement]],"Debit", Table328[2026-10-01])</totalsRowFormula>
    </tableColumn>
    <tableColumn id="37" xr3:uid="{F55F2EEA-2A6C-424C-BBBE-15F2332B5582}" name="2026-11-01" totalsRowFunction="custom" dataDxfId="88" totalsRowDxfId="87">
      <totalsRowFormula>SUMIF(Table328[[Movement]:[Movement]],"Credit", Table328[2026-11-01])-SUMIF(Table328[[Movement]:[Movement]],"Debit", Table328[2026-11-01])</totalsRowFormula>
    </tableColumn>
    <tableColumn id="38" xr3:uid="{5F503672-BD07-7B4C-BCCD-24CB778A34F6}" name="2026-12-01" totalsRowFunction="custom" dataDxfId="86" totalsRowDxfId="85">
      <totalsRowFormula>SUMIF(Table328[[Movement]:[Movement]],"Credit", Table328[2026-12-01])-SUMIF(Table328[[Movement]:[Movement]],"Debit", Table328[2026-12-01])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25CAA0-1A50-D140-A5F5-D8D57F9F6C72}" name="Table5" displayName="Table5" ref="A1:J4" totalsRowShown="0" headerRowDxfId="84" tableBorderDxfId="83">
  <autoFilter ref="A1:J4" xr:uid="{7525CAA0-1A50-D140-A5F5-D8D57F9F6C72}"/>
  <tableColumns count="10">
    <tableColumn id="1" xr3:uid="{1CB6D3F1-51C1-684B-93B6-9FA82F9F067F}" name="Movement"/>
    <tableColumn id="2" xr3:uid="{8D85302C-B2C7-D04E-9B6D-9E41A4C3874E}" name="Account Secondary"/>
    <tableColumn id="3" xr3:uid="{0B6873A1-757B-0D40-B3F0-BEA04C0D6434}" name="2024-05-01"/>
    <tableColumn id="4" xr3:uid="{19FEB763-61F6-6047-AA87-B41434BB7F2B}" name="2024-06-01"/>
    <tableColumn id="5" xr3:uid="{083028C3-723C-B14A-8548-95E3C5B52F75}" name="2024-07-01"/>
    <tableColumn id="6" xr3:uid="{4AD87858-0F42-684D-BB2F-D3B5B2D2562D}" name="2024-08-01"/>
    <tableColumn id="7" xr3:uid="{BB38845A-193D-1345-8563-6D79887BED8D}" name="2024-09-01"/>
    <tableColumn id="8" xr3:uid="{3BE6CE66-0FF8-3E4E-9B1C-A9D34EF4F340}" name="2024-10-01"/>
    <tableColumn id="9" xr3:uid="{13319CD7-98C5-4944-BD83-2F6BD0A28A0F}" name="2024-11-01"/>
    <tableColumn id="10" xr3:uid="{5F732ED9-A95B-AA4F-9A36-603AD3652A07}" name="2024-12-01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2C6871-545C-FE44-A877-F290E451E1CF}" name="Table32810" displayName="Table32810" ref="A1:J9" totalsRowCount="1" headerRowDxfId="82" dataDxfId="81">
  <autoFilter ref="A1:J8" xr:uid="{92565AF6-51CB-F740-ACD0-AD376C5F8FE0}"/>
  <tableColumns count="10">
    <tableColumn id="5" xr3:uid="{06CF438D-1451-314D-9C7A-32F80F032CDD}" name="Movement" totalsRowLabel="Subtotal" dataDxfId="80" totalsRowDxfId="79"/>
    <tableColumn id="6" xr3:uid="{D85B60B0-DD6D-9B4D-A4AD-5C8378063533}" name="Account Secondary" totalsRowLabel="Personal Wealth" dataDxfId="78" totalsRowDxfId="77"/>
    <tableColumn id="7" xr3:uid="{1DFF1C23-E2EA-B34F-AE16-2538AE6684FC}" name="2024-05-01" totalsRowFunction="custom" dataDxfId="76" totalsRowDxfId="75">
      <totalsRowFormula>SUMIF(Table32810[[Movement]:[Movement]],"Credit", Table32810[2024-05-01])-SUMIF(Table32810[[Movement]:[Movement]],"Debit", Table32810[2024-05-01])</totalsRowFormula>
    </tableColumn>
    <tableColumn id="8" xr3:uid="{907257EB-F7D6-6546-8554-11888A9984A2}" name="2024-06-01" totalsRowFunction="custom" dataDxfId="74" totalsRowDxfId="73">
      <totalsRowFormula>SUMIF(Table32810[[Movement]:[Movement]],"Credit", Table32810[2024-06-01])-SUMIF(Table32810[[Movement]:[Movement]],"Debit", Table32810[2024-06-01])</totalsRowFormula>
    </tableColumn>
    <tableColumn id="9" xr3:uid="{FE62F661-5418-9F4D-9296-96235170EEE2}" name="2024-07-01" totalsRowFunction="custom" dataDxfId="72" totalsRowDxfId="71">
      <totalsRowFormula>SUMIF(Table32810[[Movement]:[Movement]],"Credit", Table32810[2024-07-01])-SUMIF(Table32810[[Movement]:[Movement]],"Debit", Table32810[2024-07-01])</totalsRowFormula>
    </tableColumn>
    <tableColumn id="10" xr3:uid="{EC9FF017-0724-754A-A9F0-748CE63A36A8}" name="2024-08-01" totalsRowFunction="custom" dataDxfId="70" totalsRowDxfId="69">
      <totalsRowFormula>SUMIF(Table32810[[Movement]:[Movement]],"Credit", Table32810[2024-08-01])-SUMIF(Table32810[[Movement]:[Movement]],"Debit", Table32810[2024-08-01])</totalsRowFormula>
    </tableColumn>
    <tableColumn id="11" xr3:uid="{7E66D972-3166-8A43-A093-BCA6C3942C4A}" name="2024-09-01" totalsRowFunction="custom" dataDxfId="68" totalsRowDxfId="67">
      <totalsRowFormula>SUMIF(Table32810[[Movement]:[Movement]],"Credit", Table32810[2024-09-01])-SUMIF(Table32810[[Movement]:[Movement]],"Debit", Table32810[2024-09-01])</totalsRowFormula>
    </tableColumn>
    <tableColumn id="12" xr3:uid="{840B9A2E-DC2B-9A4F-8617-982B6F6D108A}" name="2024-10-01" totalsRowFunction="custom" dataDxfId="66" totalsRowDxfId="65">
      <totalsRowFormula>SUMIF(Table32810[[Movement]:[Movement]],"Credit", Table32810[2024-10-01])-SUMIF(Table32810[[Movement]:[Movement]],"Debit", Table32810[2024-10-01])</totalsRowFormula>
    </tableColumn>
    <tableColumn id="13" xr3:uid="{0D33C5AC-1054-174A-B4A6-9D8972553972}" name="2024-11-01" totalsRowFunction="custom" dataDxfId="64" totalsRowDxfId="63">
      <totalsRowFormula>SUMIF(Table32810[[Movement]:[Movement]],"Credit", Table32810[2024-11-01])-SUMIF(Table32810[[Movement]:[Movement]],"Debit", Table32810[2024-11-01])</totalsRowFormula>
    </tableColumn>
    <tableColumn id="14" xr3:uid="{DD93DC27-7299-434C-852A-9DE22656D361}" name="2024-12-01" totalsRowFunction="custom" dataDxfId="62" totalsRowDxfId="61">
      <totalsRowFormula>SUMIF(Table32810[[Movement]:[Movement]],"Credit", Table32810[2024-12-01])-SUMIF(Table32810[[Movement]:[Movement]],"Debit", Table32810[2024-12-01])</totalsRow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98D46-04BB-0942-B50C-97F8D19A9484}" name="Table323" displayName="Table323" ref="A1:J6" totalsRowShown="0" headerRowDxfId="60" dataDxfId="59">
  <autoFilter ref="A1:J6" xr:uid="{92565AF6-51CB-F740-ACD0-AD376C5F8FE0}"/>
  <tableColumns count="10">
    <tableColumn id="1" xr3:uid="{0B7A1F2D-D042-6947-B65B-356D4D33EC84}" name="Movement" dataDxfId="58"/>
    <tableColumn id="6" xr3:uid="{8D570864-DCAB-384F-9AAB-0B1B408BA72D}" name="Account Secondary" dataDxfId="57"/>
    <tableColumn id="7" xr3:uid="{1C5600AD-E9D1-6040-A70C-7F4F4F75639C}" name="2024-05-01" dataDxfId="56"/>
    <tableColumn id="8" xr3:uid="{A3364F3B-B8BC-434D-A8BB-FFC3B8C71293}" name="2024-06-01" dataDxfId="55"/>
    <tableColumn id="9" xr3:uid="{1771F61E-E416-CE41-8394-E64B9057B10F}" name="2024-07-01" dataDxfId="54"/>
    <tableColumn id="10" xr3:uid="{7188F6FE-F410-1741-B1DE-14957C8A5CB8}" name="2024-08-01" dataDxfId="53"/>
    <tableColumn id="11" xr3:uid="{C2DE6C79-5960-3D4C-B26C-70E7E132D282}" name="2024-09-01" dataDxfId="52"/>
    <tableColumn id="12" xr3:uid="{F4072681-3F04-0A46-9D9B-9A5803996783}" name="2024-10-01" dataDxfId="51"/>
    <tableColumn id="13" xr3:uid="{AB81E1BD-B0CD-E84E-BC8A-D81316A44B08}" name="2024-11-01" dataDxfId="50"/>
    <tableColumn id="14" xr3:uid="{7B9D14C4-BF9C-C74A-A14D-9A201AB2AF66}" name="2024-12-01" dataDxfId="49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73226-BE95-ED4B-8E84-34502A072542}" name="bcc" displayName="bcc" ref="A1:U7" totalsRowShown="0" headerRowDxfId="48" dataDxfId="47">
  <autoFilter ref="A1:U7" xr:uid="{D9073226-BE95-ED4B-8E84-34502A072542}"/>
  <tableColumns count="21">
    <tableColumn id="5" xr3:uid="{D736239C-8F8A-0A41-855C-2D61D9FA6F03}" name="Movement" dataDxfId="46"/>
    <tableColumn id="6" xr3:uid="{879B2830-2DB7-7C44-BEEF-A003D5F5C5EF}" name="Account Secondary" dataDxfId="45"/>
    <tableColumn id="7" xr3:uid="{142EA412-8F0A-D645-9812-6B2B6729A8A4}" name="2024-05-01" dataDxfId="44"/>
    <tableColumn id="8" xr3:uid="{DD117CB8-2856-0D48-9412-33F2845F937D}" name="2024-06-01" dataDxfId="43"/>
    <tableColumn id="9" xr3:uid="{C9503397-2C2A-5B4B-84F6-7256EAD4FF82}" name="2024-07-01" dataDxfId="42"/>
    <tableColumn id="10" xr3:uid="{528B3BEA-F5F6-CA4E-AA11-9CB0EBC907A1}" name="2024-08-01" dataDxfId="41"/>
    <tableColumn id="11" xr3:uid="{248F2750-40B2-694E-B3E3-8C20B5CD9E09}" name="2024-09-01" dataDxfId="40"/>
    <tableColumn id="12" xr3:uid="{FB23FE30-E2E2-BE49-A8AF-CCF74A9E5265}" name="2024-10-01" dataDxfId="39"/>
    <tableColumn id="13" xr3:uid="{B7503BFF-CAE0-234C-B277-0A411884B34E}" name="2024-11-01" dataDxfId="38"/>
    <tableColumn id="14" xr3:uid="{990DC215-1A0B-E34F-9CD0-E23EE6337BA8}" name="2024-12-01" dataDxfId="37"/>
    <tableColumn id="1" xr3:uid="{DEB8716C-DBC8-0A48-92AC-FD82E14ED992}" name="2025-02-01" dataDxfId="36">
      <calculatedColumnFormula>SUMIF(btrn[Movement], "Credit", btrn[2025-02-01]) - SUMIF(btrn[Movement], "Debit", btrn[2025-02-01])</calculatedColumnFormula>
    </tableColumn>
    <tableColumn id="2" xr3:uid="{99B13CC2-92B6-3940-A905-04C48FDDEBC4}" name="2025-03-01" dataDxfId="35">
      <calculatedColumnFormula>SUMIF(btrn[Movement], "Credit", btrn[2025-03-01]) - SUMIF(btrn[Movement], "Debit", btrn[2025-03-01])</calculatedColumnFormula>
    </tableColumn>
    <tableColumn id="3" xr3:uid="{40876872-3D3D-BD4A-87AE-43A114C254D7}" name="2025-04-01" dataDxfId="34">
      <calculatedColumnFormula>SUMIF(btrn[Movement], "Credit", btrn[2025-04-01]) - SUMIF(btrn[Movement], "Debit", btrn[2025-04-01])</calculatedColumnFormula>
    </tableColumn>
    <tableColumn id="4" xr3:uid="{6A4CB94B-1D33-8E4B-A948-0C3DA58884DD}" name="2025-05-01" dataDxfId="33">
      <calculatedColumnFormula>SUMIF(btrn[Movement], "Credit", btrn[2025-05-01]) - SUMIF(btrn[Movement], "Debit", btrn[2025-05-01])</calculatedColumnFormula>
    </tableColumn>
    <tableColumn id="15" xr3:uid="{E50762C6-233C-D544-8E62-7A09F3A1D363}" name="2025-06-01" dataDxfId="32">
      <calculatedColumnFormula>SUMIF(btrn[Movement], "Credit", btrn[2025-06-01]) - SUMIF(btrn[Movement], "Debit", btrn[2025-06-01])</calculatedColumnFormula>
    </tableColumn>
    <tableColumn id="16" xr3:uid="{77480624-9AEE-2B4F-B072-990DEAC621CA}" name="2025-07-01" dataDxfId="31">
      <calculatedColumnFormula>SUMIF(btrn[Movement], "Credit", btrn[2025-07-01]) - SUMIF(btrn[Movement], "Debit", btrn[2025-07-01])</calculatedColumnFormula>
    </tableColumn>
    <tableColumn id="17" xr3:uid="{0DAA9C1E-55B8-EB4B-BA36-7F4901E79744}" name="2025-08-01" dataDxfId="30">
      <calculatedColumnFormula>SUMIF(btrn[Movement], "Credit", btrn[2025-08-01]) - SUMIF(btrn[Movement], "Debit", btrn[2025-08-01])</calculatedColumnFormula>
    </tableColumn>
    <tableColumn id="18" xr3:uid="{153B46B1-4960-8048-982D-6BD343654077}" name="2025-09-01" dataDxfId="29">
      <calculatedColumnFormula>SUMIF(btrn[Movement], "Credit", btrn[2025-09-01]) - SUMIF(btrn[Movement], "Debit", btrn[2025-09-01])</calculatedColumnFormula>
    </tableColumn>
    <tableColumn id="19" xr3:uid="{E7705E6E-A66C-484C-9BBC-301D1347CBDD}" name="2025-10-01" dataDxfId="28">
      <calculatedColumnFormula>SUMIF(btrn[Movement], "Credit", btrn[2025-10-01]) - SUMIF(btrn[Movement], "Debit", btrn[2025-10-01])</calculatedColumnFormula>
    </tableColumn>
    <tableColumn id="20" xr3:uid="{1DC58CA7-5236-5B48-A3B0-00FCFB8CEBF0}" name="2025-11-01" dataDxfId="27">
      <calculatedColumnFormula>SUMIF(btrn[Movement], "Credit", btrn[2025-11-01]) - SUMIF(btrn[Movement], "Debit", btrn[2025-11-01])</calculatedColumnFormula>
    </tableColumn>
    <tableColumn id="21" xr3:uid="{CE43E64E-A176-CA44-A676-04D03A7634AB}" name="2025-12-01" dataDxfId="26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dimension ref="A1:AJ56"/>
  <sheetViews>
    <sheetView showGridLines="0" zoomScale="92" workbookViewId="0">
      <selection activeCell="AL42" sqref="AL42"/>
    </sheetView>
  </sheetViews>
  <sheetFormatPr baseColWidth="10" defaultRowHeight="16" x14ac:dyDescent="0.2"/>
  <cols>
    <col min="1" max="1" width="11" customWidth="1"/>
    <col min="2" max="2" width="25.6640625" bestFit="1" customWidth="1"/>
    <col min="3" max="3" width="20" hidden="1" customWidth="1"/>
    <col min="4" max="5" width="15.1640625" style="1" hidden="1" customWidth="1"/>
    <col min="6" max="11" width="15.1640625" hidden="1" customWidth="1"/>
    <col min="12" max="12" width="19" hidden="1" customWidth="1"/>
    <col min="13" max="22" width="19.33203125" customWidth="1"/>
  </cols>
  <sheetData>
    <row r="1" spans="1:22" ht="17" thickBot="1" x14ac:dyDescent="0.25">
      <c r="A1" s="64" t="s">
        <v>23</v>
      </c>
      <c r="B1" s="64" t="s">
        <v>49</v>
      </c>
      <c r="C1" s="65" t="s">
        <v>38</v>
      </c>
      <c r="D1" s="65" t="s">
        <v>39</v>
      </c>
      <c r="E1" s="65" t="s">
        <v>41</v>
      </c>
      <c r="F1" s="65" t="s">
        <v>40</v>
      </c>
      <c r="G1" s="65" t="s">
        <v>42</v>
      </c>
      <c r="H1" s="65" t="s">
        <v>43</v>
      </c>
      <c r="I1" s="65" t="s">
        <v>44</v>
      </c>
      <c r="J1" s="65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0" t="s">
        <v>57</v>
      </c>
      <c r="P1" s="20" t="s">
        <v>56</v>
      </c>
      <c r="Q1" s="20" t="s">
        <v>58</v>
      </c>
      <c r="R1" s="20" t="s">
        <v>59</v>
      </c>
      <c r="S1" s="20" t="s">
        <v>60</v>
      </c>
      <c r="T1" s="20" t="s">
        <v>61</v>
      </c>
      <c r="U1" s="20" t="s">
        <v>62</v>
      </c>
      <c r="V1" s="20" t="s">
        <v>63</v>
      </c>
    </row>
    <row r="2" spans="1:22" s="2" customFormat="1" ht="22" x14ac:dyDescent="0.3">
      <c r="A2" s="66" t="s">
        <v>50</v>
      </c>
      <c r="B2" s="67" t="s">
        <v>37</v>
      </c>
      <c r="C2" s="68">
        <v>27000</v>
      </c>
      <c r="D2" s="68">
        <v>27000</v>
      </c>
      <c r="E2" s="69">
        <v>21600</v>
      </c>
      <c r="F2" s="68">
        <v>21600</v>
      </c>
      <c r="G2" s="68">
        <v>21600</v>
      </c>
      <c r="H2" s="68">
        <v>21600</v>
      </c>
      <c r="I2" s="68">
        <v>21600</v>
      </c>
      <c r="J2" s="68">
        <v>25100</v>
      </c>
      <c r="K2" s="23">
        <v>25100</v>
      </c>
      <c r="L2" s="21">
        <v>21600</v>
      </c>
      <c r="M2" s="23"/>
      <c r="N2" s="23">
        <v>21600</v>
      </c>
      <c r="O2" s="23">
        <v>21600</v>
      </c>
      <c r="P2" s="23">
        <v>21600</v>
      </c>
      <c r="Q2" s="23">
        <v>21600</v>
      </c>
      <c r="R2" s="23">
        <v>21600</v>
      </c>
      <c r="S2" s="23">
        <v>21600</v>
      </c>
      <c r="T2" s="23">
        <v>21600</v>
      </c>
      <c r="U2" s="23">
        <v>21600</v>
      </c>
      <c r="V2" s="23">
        <v>21600</v>
      </c>
    </row>
    <row r="3" spans="1:22" s="2" customFormat="1" ht="22" x14ac:dyDescent="0.3">
      <c r="A3" s="53" t="s">
        <v>50</v>
      </c>
      <c r="B3" s="53" t="s">
        <v>78</v>
      </c>
      <c r="C3" s="70">
        <v>1325</v>
      </c>
      <c r="D3" s="70">
        <v>1325</v>
      </c>
      <c r="E3" s="70">
        <v>1325</v>
      </c>
      <c r="F3" s="70">
        <v>1325</v>
      </c>
      <c r="G3" s="70">
        <v>1325</v>
      </c>
      <c r="H3" s="70">
        <v>1000</v>
      </c>
      <c r="I3" s="70">
        <v>1000</v>
      </c>
      <c r="J3" s="70">
        <v>1169</v>
      </c>
      <c r="K3" s="23">
        <v>1169</v>
      </c>
      <c r="L3" s="21">
        <v>1169</v>
      </c>
      <c r="M3" s="23"/>
      <c r="N3" s="23">
        <v>1169</v>
      </c>
      <c r="O3" s="23">
        <v>1169</v>
      </c>
      <c r="P3" s="23">
        <v>1169</v>
      </c>
      <c r="Q3" s="23">
        <v>1169</v>
      </c>
      <c r="R3" s="23">
        <v>1169</v>
      </c>
      <c r="S3" s="23">
        <v>1169</v>
      </c>
      <c r="T3" s="23">
        <v>1169</v>
      </c>
      <c r="U3" s="23">
        <v>1169</v>
      </c>
      <c r="V3" s="23">
        <v>1169</v>
      </c>
    </row>
    <row r="4" spans="1:22" s="2" customFormat="1" ht="22" x14ac:dyDescent="0.3">
      <c r="A4" s="53" t="s">
        <v>50</v>
      </c>
      <c r="B4" s="53" t="s">
        <v>36</v>
      </c>
      <c r="C4" s="70"/>
      <c r="D4" s="70"/>
      <c r="E4" s="70"/>
      <c r="F4" s="70">
        <v>750</v>
      </c>
      <c r="G4" s="70">
        <v>1250</v>
      </c>
      <c r="H4" s="70"/>
      <c r="I4" s="70">
        <v>250</v>
      </c>
      <c r="J4" s="70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s="2" customFormat="1" ht="22" x14ac:dyDescent="0.3">
      <c r="A5" s="53" t="s">
        <v>50</v>
      </c>
      <c r="B5" s="53" t="s">
        <v>17</v>
      </c>
      <c r="C5" s="70"/>
      <c r="D5" s="70"/>
      <c r="E5" s="70"/>
      <c r="F5" s="70"/>
      <c r="G5" s="70"/>
      <c r="H5" s="70"/>
      <c r="I5" s="70"/>
      <c r="J5" s="70"/>
      <c r="K5" s="23"/>
      <c r="L5" s="23"/>
      <c r="M5" s="23"/>
      <c r="N5" s="23">
        <v>1000</v>
      </c>
      <c r="O5" s="23">
        <v>1000</v>
      </c>
      <c r="P5" s="23">
        <v>1000</v>
      </c>
      <c r="Q5" s="23">
        <v>1000</v>
      </c>
      <c r="R5" s="23">
        <v>1000</v>
      </c>
      <c r="S5" s="23">
        <v>1000</v>
      </c>
      <c r="T5" s="23">
        <v>1000</v>
      </c>
      <c r="U5" s="23">
        <v>1000</v>
      </c>
      <c r="V5" s="23">
        <v>1000</v>
      </c>
    </row>
    <row r="6" spans="1:22" s="2" customFormat="1" ht="22" x14ac:dyDescent="0.3">
      <c r="A6" s="53" t="s">
        <v>50</v>
      </c>
      <c r="B6" s="53" t="s">
        <v>30</v>
      </c>
      <c r="C6" s="70"/>
      <c r="D6" s="70"/>
      <c r="E6" s="70"/>
      <c r="F6" s="70"/>
      <c r="G6" s="70"/>
      <c r="H6" s="70">
        <v>0</v>
      </c>
      <c r="I6" s="70">
        <v>3500</v>
      </c>
      <c r="J6" s="70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s="2" customFormat="1" ht="22" x14ac:dyDescent="0.3">
      <c r="A7" s="53" t="s">
        <v>50</v>
      </c>
      <c r="B7" s="53" t="s">
        <v>90</v>
      </c>
      <c r="C7" s="70"/>
      <c r="D7" s="70"/>
      <c r="E7" s="70"/>
      <c r="F7" s="70"/>
      <c r="G7" s="70"/>
      <c r="H7" s="70"/>
      <c r="I7" s="70"/>
      <c r="J7" s="70"/>
      <c r="K7" s="23"/>
      <c r="L7" s="23"/>
      <c r="M7" s="23">
        <f>jtrn[[#Totals],[2025-02-01]]</f>
        <v>10</v>
      </c>
      <c r="N7" s="23">
        <f>jtrn[[#Totals],[2025-03-01]]</f>
        <v>-29909</v>
      </c>
      <c r="O7" s="23">
        <f>jtrn[[#Totals],[2025-04-01]]</f>
        <v>-30259</v>
      </c>
      <c r="P7" s="23">
        <f>jtrn[[#Totals],[2025-05-01]]</f>
        <v>-30609</v>
      </c>
      <c r="Q7" s="23">
        <f>jtrn[[#Totals],[2025-06-01]]</f>
        <v>-30959</v>
      </c>
      <c r="R7" s="23">
        <f>jtrn[[#Totals],[2025-07-01]]</f>
        <v>-31939</v>
      </c>
      <c r="S7" s="23">
        <f>jtrn[[#Totals],[2025-08-01]]</f>
        <v>-32289</v>
      </c>
      <c r="T7" s="23">
        <f>jtrn[[#Totals],[2025-09-01]]</f>
        <v>-27639</v>
      </c>
      <c r="U7" s="23">
        <f>jtrn[[#Totals],[2025-10-01]]</f>
        <v>-27989</v>
      </c>
      <c r="V7" s="23">
        <f>jtrn[[#Totals],[2025-11-01]]</f>
        <v>-30339</v>
      </c>
    </row>
    <row r="8" spans="1:22" s="2" customFormat="1" ht="22" x14ac:dyDescent="0.3">
      <c r="A8" s="53" t="s">
        <v>50</v>
      </c>
      <c r="B8" s="53" t="s">
        <v>87</v>
      </c>
      <c r="C8" s="70"/>
      <c r="D8" s="70"/>
      <c r="E8" s="70"/>
      <c r="F8" s="70"/>
      <c r="G8" s="70">
        <v>5700</v>
      </c>
      <c r="H8" s="70"/>
      <c r="I8" s="70"/>
      <c r="J8" s="70"/>
      <c r="K8" s="23"/>
      <c r="L8" s="23"/>
      <c r="M8" s="23"/>
      <c r="N8" s="23"/>
      <c r="O8" s="23"/>
      <c r="P8" s="23"/>
      <c r="Q8" s="23"/>
      <c r="R8" s="23"/>
      <c r="S8" s="23">
        <v>5000</v>
      </c>
      <c r="T8" s="23"/>
      <c r="U8" s="23"/>
      <c r="V8" s="23"/>
    </row>
    <row r="9" spans="1:22" s="2" customFormat="1" ht="22" x14ac:dyDescent="0.3">
      <c r="A9" s="53" t="s">
        <v>50</v>
      </c>
      <c r="B9" s="53" t="s">
        <v>16</v>
      </c>
      <c r="C9" s="70">
        <v>7700</v>
      </c>
      <c r="D9" s="70">
        <v>7700</v>
      </c>
      <c r="E9" s="71">
        <v>7000</v>
      </c>
      <c r="F9" s="70">
        <v>6800</v>
      </c>
      <c r="G9" s="70">
        <v>7000</v>
      </c>
      <c r="H9" s="70">
        <v>7300</v>
      </c>
      <c r="I9" s="70">
        <v>7750</v>
      </c>
      <c r="J9" s="70">
        <v>8000</v>
      </c>
      <c r="K9" s="23">
        <v>8000</v>
      </c>
      <c r="L9" s="21">
        <v>7700</v>
      </c>
      <c r="M9" s="23"/>
      <c r="N9" s="23">
        <v>7700</v>
      </c>
      <c r="O9" s="23">
        <v>7700</v>
      </c>
      <c r="P9" s="23">
        <v>7700</v>
      </c>
      <c r="Q9" s="23">
        <v>7700</v>
      </c>
      <c r="R9" s="23">
        <v>7700</v>
      </c>
      <c r="S9" s="23">
        <v>7700</v>
      </c>
      <c r="T9" s="23">
        <v>7700</v>
      </c>
      <c r="U9" s="23">
        <v>7700</v>
      </c>
      <c r="V9" s="23">
        <v>7700</v>
      </c>
    </row>
    <row r="10" spans="1:22" s="3" customFormat="1" ht="22" x14ac:dyDescent="0.3">
      <c r="A10" s="42" t="s">
        <v>51</v>
      </c>
      <c r="B10" s="42" t="s">
        <v>10</v>
      </c>
      <c r="C10" s="72">
        <v>500</v>
      </c>
      <c r="D10" s="72">
        <v>1500</v>
      </c>
      <c r="E10" s="73">
        <v>250</v>
      </c>
      <c r="F10" s="72">
        <v>500</v>
      </c>
      <c r="G10" s="72">
        <v>500</v>
      </c>
      <c r="H10" s="72">
        <v>1000</v>
      </c>
      <c r="I10" s="72">
        <v>750</v>
      </c>
      <c r="J10" s="72">
        <v>1000</v>
      </c>
      <c r="K10" s="40">
        <v>1000</v>
      </c>
      <c r="L10" s="79">
        <v>1000</v>
      </c>
      <c r="M10" s="40"/>
      <c r="N10" s="40">
        <v>1900</v>
      </c>
      <c r="O10" s="40">
        <v>1900</v>
      </c>
      <c r="P10" s="40">
        <v>1900</v>
      </c>
      <c r="Q10" s="40">
        <v>1900</v>
      </c>
      <c r="R10" s="40">
        <v>1900</v>
      </c>
      <c r="S10" s="40">
        <v>1900</v>
      </c>
      <c r="T10" s="40">
        <v>1900</v>
      </c>
      <c r="U10" s="40">
        <v>1900</v>
      </c>
      <c r="V10" s="40">
        <v>1900</v>
      </c>
    </row>
    <row r="11" spans="1:22" s="3" customFormat="1" ht="22" x14ac:dyDescent="0.3">
      <c r="A11" s="42" t="s">
        <v>51</v>
      </c>
      <c r="B11" s="42" t="s">
        <v>1</v>
      </c>
      <c r="C11" s="72">
        <v>8140</v>
      </c>
      <c r="D11" s="72">
        <v>8140</v>
      </c>
      <c r="E11" s="72">
        <v>8140</v>
      </c>
      <c r="F11" s="72">
        <v>8140</v>
      </c>
      <c r="G11" s="72">
        <v>8140</v>
      </c>
      <c r="H11" s="72">
        <v>8140</v>
      </c>
      <c r="I11" s="72">
        <v>8140</v>
      </c>
      <c r="J11" s="72">
        <v>8140</v>
      </c>
      <c r="K11" s="40">
        <v>8140</v>
      </c>
      <c r="L11" s="79">
        <v>7910</v>
      </c>
      <c r="M11" s="40">
        <v>7910</v>
      </c>
      <c r="N11" s="40">
        <v>7910</v>
      </c>
      <c r="O11" s="40">
        <v>7910</v>
      </c>
      <c r="P11" s="40">
        <v>7910</v>
      </c>
      <c r="Q11" s="40">
        <v>7910</v>
      </c>
      <c r="R11" s="40">
        <v>7910</v>
      </c>
      <c r="S11" s="40">
        <v>7910</v>
      </c>
      <c r="T11" s="40">
        <v>7910</v>
      </c>
      <c r="U11" s="40">
        <v>7910</v>
      </c>
      <c r="V11" s="40">
        <v>7910</v>
      </c>
    </row>
    <row r="12" spans="1:22" s="3" customFormat="1" ht="22" x14ac:dyDescent="0.3">
      <c r="A12" s="42" t="s">
        <v>51</v>
      </c>
      <c r="B12" s="42" t="s">
        <v>2</v>
      </c>
      <c r="C12" s="72">
        <v>3500</v>
      </c>
      <c r="D12" s="72">
        <v>3578</v>
      </c>
      <c r="E12" s="73">
        <v>3578</v>
      </c>
      <c r="F12" s="72">
        <v>3578</v>
      </c>
      <c r="G12" s="72">
        <v>3578</v>
      </c>
      <c r="H12" s="72">
        <v>3578</v>
      </c>
      <c r="I12" s="72">
        <v>3578</v>
      </c>
      <c r="J12" s="72">
        <v>3578</v>
      </c>
      <c r="K12" s="40">
        <v>3578</v>
      </c>
      <c r="L12" s="79">
        <v>3577</v>
      </c>
      <c r="M12" s="40">
        <v>3577</v>
      </c>
      <c r="N12" s="40">
        <v>3577</v>
      </c>
      <c r="O12" s="40">
        <v>3577</v>
      </c>
      <c r="P12" s="40">
        <v>3577</v>
      </c>
      <c r="Q12" s="40">
        <v>3577</v>
      </c>
      <c r="R12" s="40">
        <v>3577</v>
      </c>
      <c r="S12" s="40">
        <v>3577</v>
      </c>
      <c r="T12" s="40">
        <v>3577</v>
      </c>
      <c r="U12" s="40">
        <v>3577</v>
      </c>
      <c r="V12" s="40">
        <v>3577</v>
      </c>
    </row>
    <row r="13" spans="1:22" s="38" customFormat="1" ht="22" x14ac:dyDescent="0.3">
      <c r="A13" s="42" t="s">
        <v>51</v>
      </c>
      <c r="B13" s="36" t="s">
        <v>4</v>
      </c>
      <c r="C13" s="55">
        <v>4530</v>
      </c>
      <c r="D13" s="55">
        <v>4530</v>
      </c>
      <c r="E13" s="55">
        <v>4530</v>
      </c>
      <c r="F13" s="55">
        <v>4530</v>
      </c>
      <c r="G13" s="55">
        <v>5600</v>
      </c>
      <c r="H13" s="55">
        <v>5600</v>
      </c>
      <c r="I13" s="55">
        <v>5600</v>
      </c>
      <c r="J13" s="55">
        <v>5600</v>
      </c>
      <c r="K13" s="37">
        <v>5600</v>
      </c>
      <c r="L13" s="37">
        <v>6305</v>
      </c>
      <c r="M13" s="37">
        <v>6305</v>
      </c>
      <c r="N13" s="37">
        <v>6305</v>
      </c>
      <c r="O13" s="37">
        <v>6305</v>
      </c>
      <c r="P13" s="37">
        <v>6305</v>
      </c>
      <c r="Q13" s="37">
        <v>6305</v>
      </c>
      <c r="R13" s="37">
        <v>6305</v>
      </c>
      <c r="S13" s="37">
        <v>6305</v>
      </c>
      <c r="T13" s="37">
        <v>6305</v>
      </c>
      <c r="U13" s="37">
        <v>6305</v>
      </c>
      <c r="V13" s="37">
        <v>6305</v>
      </c>
    </row>
    <row r="14" spans="1:22" s="38" customFormat="1" ht="22" x14ac:dyDescent="0.3">
      <c r="A14" s="42" t="s">
        <v>51</v>
      </c>
      <c r="B14" s="42" t="s">
        <v>21</v>
      </c>
      <c r="C14" s="72">
        <v>110</v>
      </c>
      <c r="D14" s="72">
        <v>170</v>
      </c>
      <c r="E14" s="72">
        <v>170</v>
      </c>
      <c r="F14" s="72">
        <v>170</v>
      </c>
      <c r="G14" s="72">
        <v>170</v>
      </c>
      <c r="H14" s="72">
        <v>170</v>
      </c>
      <c r="I14" s="72">
        <v>170</v>
      </c>
      <c r="J14" s="72">
        <v>170</v>
      </c>
      <c r="K14" s="40">
        <v>170</v>
      </c>
      <c r="L14" s="79">
        <v>170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</row>
    <row r="15" spans="1:22" s="38" customFormat="1" ht="22" x14ac:dyDescent="0.3">
      <c r="A15" s="42" t="s">
        <v>51</v>
      </c>
      <c r="B15" s="36" t="s">
        <v>5</v>
      </c>
      <c r="C15" s="55">
        <v>117</v>
      </c>
      <c r="D15" s="55">
        <v>117</v>
      </c>
      <c r="E15" s="55">
        <v>117</v>
      </c>
      <c r="F15" s="55">
        <v>117</v>
      </c>
      <c r="G15" s="55">
        <v>117</v>
      </c>
      <c r="H15" s="55">
        <v>117</v>
      </c>
      <c r="I15" s="55">
        <v>117</v>
      </c>
      <c r="J15" s="55">
        <v>117</v>
      </c>
      <c r="K15" s="37">
        <v>117</v>
      </c>
      <c r="L15" s="80">
        <v>117</v>
      </c>
      <c r="M15" s="37">
        <v>117</v>
      </c>
      <c r="N15" s="37">
        <v>117</v>
      </c>
      <c r="O15" s="37">
        <v>117</v>
      </c>
      <c r="P15" s="37">
        <v>117</v>
      </c>
      <c r="Q15" s="37">
        <v>117</v>
      </c>
      <c r="R15" s="37">
        <v>117</v>
      </c>
      <c r="S15" s="37">
        <v>117</v>
      </c>
      <c r="T15" s="37">
        <v>117</v>
      </c>
      <c r="U15" s="37">
        <v>117</v>
      </c>
      <c r="V15" s="37">
        <v>117</v>
      </c>
    </row>
    <row r="16" spans="1:22" s="38" customFormat="1" ht="22" x14ac:dyDescent="0.3">
      <c r="A16" s="42" t="s">
        <v>51</v>
      </c>
      <c r="B16" s="42" t="s">
        <v>6</v>
      </c>
      <c r="C16" s="72">
        <v>1050</v>
      </c>
      <c r="D16" s="72">
        <v>988</v>
      </c>
      <c r="E16" s="73">
        <v>988</v>
      </c>
      <c r="F16" s="72">
        <v>988</v>
      </c>
      <c r="G16" s="72">
        <v>988</v>
      </c>
      <c r="H16" s="72">
        <v>988</v>
      </c>
      <c r="I16" s="72">
        <v>988</v>
      </c>
      <c r="J16" s="72">
        <v>988</v>
      </c>
      <c r="K16" s="40">
        <v>988</v>
      </c>
      <c r="L16" s="79">
        <v>988</v>
      </c>
      <c r="M16" s="40">
        <v>750</v>
      </c>
      <c r="N16" s="40">
        <v>750</v>
      </c>
      <c r="O16" s="40">
        <v>750</v>
      </c>
      <c r="P16" s="40">
        <v>750</v>
      </c>
      <c r="Q16" s="40">
        <v>750</v>
      </c>
      <c r="R16" s="40">
        <v>750</v>
      </c>
      <c r="S16" s="40">
        <v>750</v>
      </c>
      <c r="T16" s="40">
        <v>750</v>
      </c>
      <c r="U16" s="40">
        <v>750</v>
      </c>
      <c r="V16" s="40">
        <v>750</v>
      </c>
    </row>
    <row r="17" spans="1:22" s="38" customFormat="1" ht="22" x14ac:dyDescent="0.3">
      <c r="A17" s="42" t="s">
        <v>51</v>
      </c>
      <c r="B17" s="36" t="s">
        <v>7</v>
      </c>
      <c r="C17" s="55">
        <v>1200</v>
      </c>
      <c r="D17" s="55">
        <v>560</v>
      </c>
      <c r="E17" s="55">
        <v>560</v>
      </c>
      <c r="F17" s="55">
        <v>560</v>
      </c>
      <c r="G17" s="55">
        <v>560</v>
      </c>
      <c r="H17" s="55">
        <v>560</v>
      </c>
      <c r="I17" s="55">
        <v>610</v>
      </c>
      <c r="J17" s="55">
        <v>610</v>
      </c>
      <c r="K17" s="37">
        <v>610</v>
      </c>
      <c r="L17" s="80">
        <v>610</v>
      </c>
      <c r="M17" s="37">
        <v>610</v>
      </c>
      <c r="N17" s="37">
        <v>610</v>
      </c>
      <c r="O17" s="37">
        <v>610</v>
      </c>
      <c r="P17" s="37">
        <v>610</v>
      </c>
      <c r="Q17" s="37">
        <v>610</v>
      </c>
      <c r="R17" s="37">
        <v>610</v>
      </c>
      <c r="S17" s="37">
        <v>610</v>
      </c>
      <c r="T17" s="37">
        <v>610</v>
      </c>
      <c r="U17" s="37">
        <v>610</v>
      </c>
      <c r="V17" s="37">
        <v>610</v>
      </c>
    </row>
    <row r="18" spans="1:22" s="38" customFormat="1" ht="22" x14ac:dyDescent="0.3">
      <c r="A18" s="42" t="s">
        <v>51</v>
      </c>
      <c r="B18" s="42" t="s">
        <v>8</v>
      </c>
      <c r="C18" s="72">
        <v>440</v>
      </c>
      <c r="D18" s="72">
        <v>440</v>
      </c>
      <c r="E18" s="72">
        <v>440</v>
      </c>
      <c r="F18" s="72">
        <v>440</v>
      </c>
      <c r="G18" s="72">
        <v>440</v>
      </c>
      <c r="H18" s="72">
        <v>440</v>
      </c>
      <c r="I18" s="72">
        <v>440</v>
      </c>
      <c r="J18" s="72">
        <v>440</v>
      </c>
      <c r="K18" s="40">
        <v>440</v>
      </c>
      <c r="L18" s="79">
        <v>450</v>
      </c>
      <c r="M18" s="40">
        <v>450</v>
      </c>
      <c r="N18" s="40">
        <v>450</v>
      </c>
      <c r="O18" s="40">
        <v>450</v>
      </c>
      <c r="P18" s="40">
        <v>450</v>
      </c>
      <c r="Q18" s="40">
        <v>450</v>
      </c>
      <c r="R18" s="40">
        <v>450</v>
      </c>
      <c r="S18" s="40">
        <v>450</v>
      </c>
      <c r="T18" s="40">
        <v>450</v>
      </c>
      <c r="U18" s="40">
        <v>450</v>
      </c>
      <c r="V18" s="40">
        <v>450</v>
      </c>
    </row>
    <row r="19" spans="1:22" s="38" customFormat="1" ht="22" x14ac:dyDescent="0.3">
      <c r="A19" s="42" t="s">
        <v>51</v>
      </c>
      <c r="B19" s="36" t="s">
        <v>13</v>
      </c>
      <c r="C19" s="55">
        <v>3500</v>
      </c>
      <c r="D19" s="55">
        <v>3500</v>
      </c>
      <c r="E19" s="74">
        <v>3500</v>
      </c>
      <c r="F19" s="55">
        <v>3500</v>
      </c>
      <c r="G19" s="55">
        <v>3500</v>
      </c>
      <c r="H19" s="55">
        <v>4000</v>
      </c>
      <c r="I19" s="55">
        <v>4000</v>
      </c>
      <c r="J19" s="55">
        <v>3700</v>
      </c>
      <c r="K19" s="37">
        <v>3700</v>
      </c>
      <c r="L19" s="80">
        <v>3000</v>
      </c>
      <c r="M19" s="37">
        <v>3700</v>
      </c>
      <c r="N19" s="37">
        <v>3700</v>
      </c>
      <c r="O19" s="37">
        <v>3700</v>
      </c>
      <c r="P19" s="37">
        <v>3700</v>
      </c>
      <c r="Q19" s="37">
        <v>3700</v>
      </c>
      <c r="R19" s="37">
        <v>3700</v>
      </c>
      <c r="S19" s="37">
        <v>3700</v>
      </c>
      <c r="T19" s="37">
        <v>3700</v>
      </c>
      <c r="U19" s="37">
        <v>3700</v>
      </c>
      <c r="V19" s="37">
        <v>3700</v>
      </c>
    </row>
    <row r="20" spans="1:22" s="38" customFormat="1" ht="22" x14ac:dyDescent="0.3">
      <c r="A20" s="42" t="s">
        <v>51</v>
      </c>
      <c r="B20" s="42" t="s">
        <v>47</v>
      </c>
      <c r="C20" s="72">
        <v>1000</v>
      </c>
      <c r="D20" s="72">
        <v>1000</v>
      </c>
      <c r="E20" s="73">
        <v>1000</v>
      </c>
      <c r="F20" s="72">
        <v>1000</v>
      </c>
      <c r="G20" s="72">
        <v>1000</v>
      </c>
      <c r="H20" s="72">
        <v>1000</v>
      </c>
      <c r="I20" s="72">
        <v>1000</v>
      </c>
      <c r="J20" s="72">
        <v>1000</v>
      </c>
      <c r="K20" s="40">
        <v>1000</v>
      </c>
      <c r="L20" s="79">
        <v>1000</v>
      </c>
      <c r="M20" s="40">
        <v>1000</v>
      </c>
      <c r="N20" s="40">
        <v>1000</v>
      </c>
      <c r="O20" s="40">
        <v>1000</v>
      </c>
      <c r="P20" s="40">
        <v>1000</v>
      </c>
      <c r="Q20" s="40">
        <v>1000</v>
      </c>
      <c r="R20" s="40">
        <v>1000</v>
      </c>
      <c r="S20" s="40">
        <v>1000</v>
      </c>
      <c r="T20" s="40">
        <v>1000</v>
      </c>
      <c r="U20" s="40">
        <v>1000</v>
      </c>
      <c r="V20" s="40">
        <v>1000</v>
      </c>
    </row>
    <row r="21" spans="1:22" s="38" customFormat="1" ht="22" x14ac:dyDescent="0.3">
      <c r="A21" s="42" t="s">
        <v>51</v>
      </c>
      <c r="B21" s="36" t="s">
        <v>14</v>
      </c>
      <c r="C21" s="55">
        <v>1000</v>
      </c>
      <c r="D21" s="55">
        <v>1500</v>
      </c>
      <c r="E21" s="74">
        <v>250</v>
      </c>
      <c r="F21" s="55">
        <v>500</v>
      </c>
      <c r="G21" s="55">
        <v>900</v>
      </c>
      <c r="H21" s="55">
        <v>200</v>
      </c>
      <c r="I21" s="55">
        <v>150</v>
      </c>
      <c r="J21" s="55">
        <v>900</v>
      </c>
      <c r="K21" s="37">
        <v>900</v>
      </c>
      <c r="L21" s="88">
        <v>500</v>
      </c>
      <c r="M21" s="37">
        <v>500</v>
      </c>
      <c r="N21" s="37">
        <v>500</v>
      </c>
      <c r="O21" s="37">
        <v>500</v>
      </c>
      <c r="P21" s="37">
        <v>500</v>
      </c>
      <c r="Q21" s="37">
        <v>500</v>
      </c>
      <c r="R21" s="37">
        <v>500</v>
      </c>
      <c r="S21" s="37">
        <v>500</v>
      </c>
      <c r="T21" s="37">
        <v>500</v>
      </c>
      <c r="U21" s="37">
        <v>500</v>
      </c>
      <c r="V21" s="37">
        <v>500</v>
      </c>
    </row>
    <row r="22" spans="1:22" s="38" customFormat="1" ht="22" x14ac:dyDescent="0.3">
      <c r="A22" s="42" t="s">
        <v>51</v>
      </c>
      <c r="B22" s="42" t="s">
        <v>79</v>
      </c>
      <c r="C22" s="72">
        <v>5000</v>
      </c>
      <c r="D22" s="72">
        <v>4300</v>
      </c>
      <c r="E22" s="72">
        <v>3000</v>
      </c>
      <c r="F22" s="72">
        <v>3500</v>
      </c>
      <c r="G22" s="72">
        <v>3200</v>
      </c>
      <c r="H22" s="72">
        <v>3000</v>
      </c>
      <c r="I22" s="72">
        <v>3500</v>
      </c>
      <c r="J22" s="72">
        <v>4000</v>
      </c>
      <c r="K22" s="40">
        <v>4000</v>
      </c>
      <c r="L22" s="92">
        <v>2600</v>
      </c>
      <c r="M22" s="40">
        <v>3700</v>
      </c>
      <c r="N22" s="40">
        <v>3700</v>
      </c>
      <c r="O22" s="40">
        <v>3700</v>
      </c>
      <c r="P22" s="40">
        <v>3700</v>
      </c>
      <c r="Q22" s="40">
        <v>3700</v>
      </c>
      <c r="R22" s="40">
        <v>3700</v>
      </c>
      <c r="S22" s="40">
        <v>3700</v>
      </c>
      <c r="T22" s="40">
        <v>3700</v>
      </c>
      <c r="U22" s="40">
        <v>3700</v>
      </c>
      <c r="V22" s="40">
        <v>3700</v>
      </c>
    </row>
    <row r="23" spans="1:22" s="38" customFormat="1" ht="22" x14ac:dyDescent="0.3">
      <c r="A23" s="42" t="s">
        <v>51</v>
      </c>
      <c r="B23" s="42" t="s">
        <v>48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40">
        <v>0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 s="3" customFormat="1" ht="22" x14ac:dyDescent="0.3">
      <c r="A24" s="42" t="s">
        <v>51</v>
      </c>
      <c r="B24" s="42" t="s">
        <v>36</v>
      </c>
      <c r="C24" s="72">
        <v>500</v>
      </c>
      <c r="D24" s="72">
        <v>200</v>
      </c>
      <c r="E24" s="72"/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40">
        <v>0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 s="3" customFormat="1" ht="22" x14ac:dyDescent="0.3">
      <c r="A25" s="42" t="s">
        <v>51</v>
      </c>
      <c r="B25" s="36" t="s">
        <v>25</v>
      </c>
      <c r="C25" s="55">
        <v>1000</v>
      </c>
      <c r="D25" s="55">
        <v>1000</v>
      </c>
      <c r="E25" s="55">
        <v>0</v>
      </c>
      <c r="F25" s="55"/>
      <c r="G25" s="55">
        <v>500</v>
      </c>
      <c r="H25" s="55">
        <v>1000</v>
      </c>
      <c r="I25" s="55">
        <v>500</v>
      </c>
      <c r="J25" s="55">
        <v>500</v>
      </c>
      <c r="K25" s="37">
        <v>500</v>
      </c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</row>
    <row r="26" spans="1:22" s="3" customFormat="1" ht="22" x14ac:dyDescent="0.3">
      <c r="A26" s="42" t="s">
        <v>51</v>
      </c>
      <c r="B26" s="36" t="s">
        <v>46</v>
      </c>
      <c r="C26" s="55">
        <v>200</v>
      </c>
      <c r="D26" s="55">
        <v>200</v>
      </c>
      <c r="E26" s="74">
        <v>200</v>
      </c>
      <c r="F26" s="55">
        <v>200</v>
      </c>
      <c r="G26" s="55">
        <v>200</v>
      </c>
      <c r="H26" s="55">
        <v>0</v>
      </c>
      <c r="I26" s="55">
        <v>200</v>
      </c>
      <c r="J26" s="55">
        <v>200</v>
      </c>
      <c r="K26" s="37">
        <v>200</v>
      </c>
      <c r="L26" s="80">
        <v>900</v>
      </c>
      <c r="M26" s="37">
        <v>200</v>
      </c>
      <c r="N26" s="37">
        <v>200</v>
      </c>
      <c r="O26" s="37">
        <v>200</v>
      </c>
      <c r="P26" s="37">
        <v>200</v>
      </c>
      <c r="Q26" s="37">
        <v>200</v>
      </c>
      <c r="R26" s="37">
        <v>200</v>
      </c>
      <c r="S26" s="37">
        <v>200</v>
      </c>
      <c r="T26" s="37">
        <v>200</v>
      </c>
      <c r="U26" s="37">
        <v>200</v>
      </c>
      <c r="V26" s="37">
        <v>200</v>
      </c>
    </row>
    <row r="27" spans="1:22" s="3" customFormat="1" ht="22" x14ac:dyDescent="0.3">
      <c r="A27" s="42" t="s">
        <v>51</v>
      </c>
      <c r="B27" s="36" t="s">
        <v>19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37">
        <v>0</v>
      </c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1:22" s="3" customFormat="1" ht="22" x14ac:dyDescent="0.3">
      <c r="A28" s="42" t="s">
        <v>51</v>
      </c>
      <c r="B28" s="42" t="s">
        <v>81</v>
      </c>
      <c r="C28" s="72"/>
      <c r="D28" s="72"/>
      <c r="E28" s="73">
        <v>640</v>
      </c>
      <c r="F28" s="72">
        <v>0</v>
      </c>
      <c r="G28" s="72">
        <v>0</v>
      </c>
      <c r="H28" s="72">
        <v>0</v>
      </c>
      <c r="I28" s="72">
        <v>0</v>
      </c>
      <c r="J28" s="72">
        <v>500</v>
      </c>
      <c r="K28" s="40">
        <v>500</v>
      </c>
      <c r="L28" s="79">
        <v>432</v>
      </c>
      <c r="M28" s="40"/>
      <c r="N28" s="40"/>
      <c r="O28" s="40"/>
      <c r="P28" s="40"/>
      <c r="Q28" s="40">
        <v>630</v>
      </c>
      <c r="R28" s="40"/>
      <c r="S28" s="40"/>
      <c r="T28" s="40"/>
      <c r="U28" s="40"/>
      <c r="V28" s="40"/>
    </row>
    <row r="29" spans="1:22" s="3" customFormat="1" ht="22" x14ac:dyDescent="0.3">
      <c r="A29" s="42" t="s">
        <v>51</v>
      </c>
      <c r="B29" s="42" t="s">
        <v>17</v>
      </c>
      <c r="C29" s="72"/>
      <c r="D29" s="72"/>
      <c r="E29" s="72">
        <v>600</v>
      </c>
      <c r="F29" s="72">
        <v>600</v>
      </c>
      <c r="G29" s="72"/>
      <c r="H29" s="72">
        <v>580</v>
      </c>
      <c r="I29" s="72"/>
      <c r="J29" s="72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1:22" s="3" customFormat="1" ht="22" x14ac:dyDescent="0.3">
      <c r="A30" s="42" t="s">
        <v>51</v>
      </c>
      <c r="B30" s="42" t="s">
        <v>91</v>
      </c>
      <c r="C30" s="72"/>
      <c r="D30" s="72"/>
      <c r="E30" s="72"/>
      <c r="F30" s="72"/>
      <c r="G30" s="72"/>
      <c r="H30" s="72"/>
      <c r="I30" s="75">
        <v>2227</v>
      </c>
      <c r="J30" s="72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 s="3" customFormat="1" ht="22" x14ac:dyDescent="0.3">
      <c r="A31" s="42" t="s">
        <v>51</v>
      </c>
      <c r="B31" s="42" t="s">
        <v>92</v>
      </c>
      <c r="C31" s="72"/>
      <c r="D31" s="72"/>
      <c r="E31" s="72"/>
      <c r="F31" s="72"/>
      <c r="G31" s="72"/>
      <c r="H31" s="72"/>
      <c r="I31" s="72">
        <v>2065</v>
      </c>
      <c r="J31" s="72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>
        <v>2000</v>
      </c>
      <c r="V31" s="40"/>
    </row>
    <row r="32" spans="1:22" s="3" customFormat="1" ht="22" x14ac:dyDescent="0.3">
      <c r="A32" s="42" t="s">
        <v>51</v>
      </c>
      <c r="B32" s="42" t="s">
        <v>80</v>
      </c>
      <c r="C32" s="72"/>
      <c r="D32" s="72"/>
      <c r="E32" s="72"/>
      <c r="F32" s="72"/>
      <c r="G32" s="72"/>
      <c r="H32" s="72"/>
      <c r="I32" s="72"/>
      <c r="J32" s="72"/>
      <c r="K32" s="40"/>
      <c r="L32" s="40"/>
      <c r="M32" s="40">
        <v>900</v>
      </c>
      <c r="N32" s="40">
        <v>900</v>
      </c>
      <c r="O32" s="40">
        <v>900</v>
      </c>
      <c r="P32" s="40">
        <v>900</v>
      </c>
      <c r="Q32" s="40">
        <v>900</v>
      </c>
      <c r="R32" s="40">
        <v>900</v>
      </c>
      <c r="S32" s="40">
        <v>900</v>
      </c>
      <c r="T32" s="40">
        <v>900</v>
      </c>
      <c r="U32" s="40">
        <v>900</v>
      </c>
      <c r="V32" s="40">
        <v>900</v>
      </c>
    </row>
    <row r="33" spans="1:36" s="3" customFormat="1" ht="22" x14ac:dyDescent="0.3">
      <c r="A33" s="42" t="s">
        <v>51</v>
      </c>
      <c r="B33" s="42" t="s">
        <v>85</v>
      </c>
      <c r="C33" s="72"/>
      <c r="D33" s="72"/>
      <c r="E33" s="72"/>
      <c r="F33" s="72">
        <v>500</v>
      </c>
      <c r="G33" s="72">
        <v>500</v>
      </c>
      <c r="H33" s="72"/>
      <c r="I33" s="72"/>
      <c r="J33" s="72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36" s="3" customFormat="1" ht="22" x14ac:dyDescent="0.3">
      <c r="A34" s="42" t="s">
        <v>51</v>
      </c>
      <c r="B34" s="42" t="s">
        <v>3</v>
      </c>
      <c r="C34" s="72">
        <v>3100</v>
      </c>
      <c r="D34" s="72">
        <v>1700</v>
      </c>
      <c r="E34" s="72">
        <v>1820</v>
      </c>
      <c r="F34" s="72">
        <v>1820</v>
      </c>
      <c r="G34" s="72">
        <v>0</v>
      </c>
      <c r="H34" s="72">
        <v>0</v>
      </c>
      <c r="I34" s="72">
        <v>0</v>
      </c>
      <c r="J34" s="72">
        <v>0</v>
      </c>
      <c r="K34" s="40">
        <v>0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36" s="38" customFormat="1" ht="22" x14ac:dyDescent="0.3">
      <c r="A35" s="42" t="s">
        <v>51</v>
      </c>
      <c r="B35" s="42" t="s">
        <v>15</v>
      </c>
      <c r="C35" s="72">
        <v>600</v>
      </c>
      <c r="D35" s="72">
        <v>600</v>
      </c>
      <c r="E35" s="72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  <c r="K35" s="40">
        <v>0</v>
      </c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1:36" s="3" customFormat="1" ht="22" x14ac:dyDescent="0.3">
      <c r="A36" s="42" t="s">
        <v>51</v>
      </c>
      <c r="B36" s="42" t="s">
        <v>88</v>
      </c>
      <c r="C36" s="72"/>
      <c r="D36" s="72"/>
      <c r="E36" s="72"/>
      <c r="F36" s="72"/>
      <c r="G36" s="72"/>
      <c r="H36" s="72"/>
      <c r="I36" s="72"/>
      <c r="J36" s="72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36" s="3" customFormat="1" ht="22" x14ac:dyDescent="0.3">
      <c r="A37" s="42" t="s">
        <v>51</v>
      </c>
      <c r="B37" s="42" t="s">
        <v>120</v>
      </c>
      <c r="C37" s="72"/>
      <c r="D37" s="72"/>
      <c r="E37" s="72"/>
      <c r="F37" s="72"/>
      <c r="G37" s="72"/>
      <c r="H37" s="72"/>
      <c r="I37" s="72"/>
      <c r="J37" s="72"/>
      <c r="K37" s="40"/>
      <c r="L37" s="79">
        <v>700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1:36" s="3" customFormat="1" ht="22" x14ac:dyDescent="0.3">
      <c r="A38" s="42" t="s">
        <v>51</v>
      </c>
      <c r="B38" s="42" t="s">
        <v>30</v>
      </c>
      <c r="C38" s="72">
        <v>0</v>
      </c>
      <c r="D38" s="72">
        <v>500</v>
      </c>
      <c r="E38" s="72"/>
      <c r="F38" s="72"/>
      <c r="G38" s="76">
        <v>5000</v>
      </c>
      <c r="H38" s="72"/>
      <c r="I38" s="72"/>
      <c r="J38" s="72">
        <v>3000</v>
      </c>
      <c r="K38" s="40">
        <v>3000</v>
      </c>
      <c r="L38" s="79">
        <v>200</v>
      </c>
      <c r="M38" s="51">
        <v>200</v>
      </c>
      <c r="N38" s="51">
        <v>200</v>
      </c>
      <c r="O38" s="51">
        <v>200</v>
      </c>
      <c r="P38" s="51">
        <v>200</v>
      </c>
      <c r="Q38" s="51">
        <v>200</v>
      </c>
      <c r="R38" s="51">
        <v>200</v>
      </c>
      <c r="S38" s="51">
        <v>200</v>
      </c>
      <c r="T38" s="51">
        <v>200</v>
      </c>
      <c r="U38" s="51">
        <v>200</v>
      </c>
      <c r="V38" s="51">
        <v>200</v>
      </c>
    </row>
    <row r="39" spans="1:36" ht="22" x14ac:dyDescent="0.3">
      <c r="A39" s="77" t="s">
        <v>77</v>
      </c>
      <c r="B39" s="77" t="s">
        <v>0</v>
      </c>
      <c r="C39" s="78">
        <f>SUMIF('Jeanre Transactional'!$A$2:$A$39,"Credit", 'Jeanre Transactional'!$C$2:$C$39)-SUMIF('Jeanre Transactional'!$A$2:$A$39,"Debit", 'Jeanre Transactional'!$C$2:$C$39)</f>
        <v>538</v>
      </c>
      <c r="D39" s="78">
        <f>SUMIF('Jeanre Transactional'!$A$2:$A$39,"Credit", 'Jeanre Transactional'!$D$2:$D$39)-SUMIF('Jeanre Transactional'!$A$2:$A$39,"Debit", 'Jeanre Transactional'!$D$2:$D$39)</f>
        <v>1502</v>
      </c>
      <c r="E39" s="78">
        <f>SUMIF('Jeanre Transactional'!$A$2:$A$39,"Credit", 'Jeanre Transactional'!$E$2:$E$39)-SUMIF('Jeanre Transactional'!$A$2:$A$39,"Debit", 'Jeanre Transactional'!$E$2:$E$39)</f>
        <v>142</v>
      </c>
      <c r="F39" s="78">
        <f>SUMIF('Jeanre Transactional'!$A$2:$A$39,"Credit", 'Jeanre Transactional'!$F$2:$F$39)-SUMIF('Jeanre Transactional'!$A$2:$A$39,"Debit", 'Jeanre Transactional'!$F$2:$F$39)</f>
        <v>-168</v>
      </c>
      <c r="G39" s="78">
        <f>SUMIF('Jeanre Transactional'!$A$2:$A$39,"Credit", 'Jeanre Transactional'!$G$2:$G$39)-SUMIF('Jeanre Transactional'!$A$2:$A$39,"Debit", 'Jeanre Transactional'!$G$2:$G$39)</f>
        <v>1982</v>
      </c>
      <c r="H39" s="78">
        <f>SUMIF('Jeanre Transactional'!$A$2:$A$39,"Credit", 'Jeanre Transactional'!$H$2:$H$39)-SUMIF('Jeanre Transactional'!$A$2:$A$39,"Debit", 'Jeanre Transactional'!$H$2:$H$39)</f>
        <v>-473</v>
      </c>
      <c r="I39" s="78">
        <f>SUMIF('Jeanre Transactional'!$A$2:$A$39,"Credit", 'Jeanre Transactional'!$I$2:$I$39)-SUMIF('Jeanre Transactional'!$A$2:$A$39,"Debit", 'Jeanre Transactional'!$I$2:$I$39)</f>
        <v>65</v>
      </c>
      <c r="J39" s="78">
        <f>SUMIF('Jeanre Transactional'!$A$2:$A$39,"Credit", 'Jeanre Transactional'!$J$2:$J$39)-SUMIF('Jeanre Transactional'!$A$2:$A$39,"Debit", 'Jeanre Transactional'!$J$2:$J$39)</f>
        <v>-174</v>
      </c>
      <c r="K39" s="12">
        <f>SUMIF(jtrn[Movement], "Credit", jtrn[2025-01-01]) - SUMIF(jtrn[Movement], "Debit", jtrn[2025-01-01])</f>
        <v>-174</v>
      </c>
      <c r="L39" s="12">
        <f>SUMIF(jtrn[Movement], "Credit", jtrn[2025-02-01]) - SUMIF(jtrn[Movement], "Debit", jtrn[2025-02-01])</f>
        <v>10</v>
      </c>
      <c r="M39" s="12">
        <f>SUMIF(jtrn[Movement], "Credit", jtrn[2025-03-01]) - SUMIF(jtrn[Movement], "Debit", jtrn[2025-03-01])</f>
        <v>-29909</v>
      </c>
      <c r="N39" s="12">
        <f>SUMIF(jtrn[Movement], "Credit", jtrn[2025-04-01]) - SUMIF(jtrn[Movement], "Debit", jtrn[2025-04-01])</f>
        <v>-30259</v>
      </c>
      <c r="O39" s="12">
        <f>SUMIF(jtrn[Movement], "Credit", jtrn[2025-05-01]) - SUMIF(jtrn[Movement], "Debit", jtrn[2025-05-01])</f>
        <v>-30609</v>
      </c>
      <c r="P39" s="12">
        <f>SUMIF(jtrn[Movement], "Credit", jtrn[2025-06-01]) - SUMIF(jtrn[Movement], "Debit", jtrn[2025-06-01])</f>
        <v>-30959</v>
      </c>
      <c r="Q39" s="12">
        <f>SUMIF(jtrn[Movement], "Credit", jtrn[2025-07-01]) - SUMIF(jtrn[Movement], "Debit", jtrn[2025-07-01])</f>
        <v>-31939</v>
      </c>
      <c r="R39" s="12">
        <f>SUMIF(jtrn[Movement], "Credit", jtrn[2025-08-01]) - SUMIF(jtrn[Movement], "Debit", jtrn[2025-08-01])</f>
        <v>-32289</v>
      </c>
      <c r="S39" s="12">
        <f>SUMIF(jtrn[Movement], "Credit", jtrn[2025-09-01]) - SUMIF(jtrn[Movement], "Debit", jtrn[2025-09-01])</f>
        <v>-27639</v>
      </c>
      <c r="T39" s="12">
        <f>SUMIF(jtrn[Movement], "Credit", jtrn[2025-10-01]) - SUMIF(jtrn[Movement], "Debit", jtrn[2025-10-01])</f>
        <v>-27989</v>
      </c>
      <c r="U39" s="12">
        <f>SUMIF(jtrn[Movement], "Credit", jtrn[2025-11-01]) - SUMIF(jtrn[Movement], "Debit", jtrn[2025-11-01])</f>
        <v>-30339</v>
      </c>
      <c r="V39" s="12">
        <f>SUMIF(jtrn[Movement], "Credit", jtrn[2025-12-01]) - SUMIF(jtrn[Movement], "Debit", jtrn[2025-12-01])</f>
        <v>-30689</v>
      </c>
    </row>
    <row r="41" spans="1:36" x14ac:dyDescent="0.2">
      <c r="AJ41">
        <v>1</v>
      </c>
    </row>
    <row r="56" spans="9:9" x14ac:dyDescent="0.2">
      <c r="I56">
        <f>SUMIF('Jeanre Transactional'!$A$2:$A$39,"Credit", 'Jeanre Transactional'!$J$2:$J$39)-SUMIF('Jeanre Transactional'!$A$2:$A$39,"Debit", 'Jeanre Transactional'!$J$2:$J$39)</f>
        <v>-174</v>
      </c>
    </row>
  </sheetData>
  <phoneticPr fontId="4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BCA0-7A58-4C42-AC29-C4D5D0603830}">
  <dimension ref="A1:B10"/>
  <sheetViews>
    <sheetView tabSelected="1" workbookViewId="0">
      <selection activeCell="A13" sqref="A13"/>
    </sheetView>
  </sheetViews>
  <sheetFormatPr baseColWidth="10" defaultRowHeight="16" x14ac:dyDescent="0.2"/>
  <cols>
    <col min="1" max="1" width="62.33203125" customWidth="1"/>
    <col min="2" max="2" width="71" customWidth="1"/>
  </cols>
  <sheetData>
    <row r="1" spans="1:2" x14ac:dyDescent="0.2">
      <c r="A1" t="s">
        <v>121</v>
      </c>
    </row>
    <row r="2" spans="1:2" x14ac:dyDescent="0.2">
      <c r="A2" t="s">
        <v>122</v>
      </c>
    </row>
    <row r="4" spans="1:2" x14ac:dyDescent="0.2">
      <c r="A4" t="s">
        <v>123</v>
      </c>
    </row>
    <row r="6" spans="1:2" x14ac:dyDescent="0.2">
      <c r="A6" t="s">
        <v>124</v>
      </c>
    </row>
    <row r="7" spans="1:2" x14ac:dyDescent="0.2">
      <c r="A7" t="s">
        <v>125</v>
      </c>
    </row>
    <row r="8" spans="1:2" x14ac:dyDescent="0.2">
      <c r="A8" t="s">
        <v>126</v>
      </c>
    </row>
    <row r="9" spans="1:2" x14ac:dyDescent="0.2">
      <c r="A9" t="s">
        <v>127</v>
      </c>
    </row>
    <row r="10" spans="1:2" x14ac:dyDescent="0.2">
      <c r="A10" s="1" t="s">
        <v>128</v>
      </c>
      <c r="B10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FA5A-65C3-DE4D-964E-13540A60950B}">
  <dimension ref="A1:W12"/>
  <sheetViews>
    <sheetView showGridLines="0" zoomScale="137" workbookViewId="0">
      <selection activeCell="M12" sqref="M12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hidden="1" customWidth="1"/>
    <col min="11" max="11" width="15.83203125" hidden="1" customWidth="1"/>
    <col min="12" max="12" width="0" hidden="1" customWidth="1"/>
    <col min="13" max="23" width="16.83203125" customWidth="1"/>
  </cols>
  <sheetData>
    <row r="1" spans="1:23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63" t="s">
        <v>96</v>
      </c>
      <c r="L1" s="83" t="s">
        <v>52</v>
      </c>
      <c r="M1" s="83" t="s">
        <v>53</v>
      </c>
      <c r="N1" s="83" t="s">
        <v>54</v>
      </c>
      <c r="O1" s="83" t="s">
        <v>55</v>
      </c>
      <c r="P1" s="83" t="s">
        <v>57</v>
      </c>
      <c r="Q1" s="83" t="s">
        <v>56</v>
      </c>
      <c r="R1" s="83" t="s">
        <v>58</v>
      </c>
      <c r="S1" s="83" t="s">
        <v>59</v>
      </c>
      <c r="T1" s="83" t="s">
        <v>60</v>
      </c>
      <c r="U1" s="83" t="s">
        <v>61</v>
      </c>
      <c r="V1" s="83" t="s">
        <v>62</v>
      </c>
      <c r="W1" s="83" t="s">
        <v>63</v>
      </c>
    </row>
    <row r="2" spans="1:23" s="2" customFormat="1" ht="22" x14ac:dyDescent="0.3">
      <c r="A2" s="43" t="s">
        <v>50</v>
      </c>
      <c r="B2" s="43" t="s">
        <v>37</v>
      </c>
      <c r="C2" s="23">
        <v>11000</v>
      </c>
      <c r="D2" s="23">
        <v>11000</v>
      </c>
      <c r="E2" s="23">
        <v>8800</v>
      </c>
      <c r="F2" s="23">
        <v>8800</v>
      </c>
      <c r="G2" s="23">
        <v>8800</v>
      </c>
      <c r="H2" s="23">
        <v>8800</v>
      </c>
      <c r="I2" s="23">
        <v>8800</v>
      </c>
      <c r="J2" s="23">
        <v>11300</v>
      </c>
      <c r="K2" s="23">
        <v>11300</v>
      </c>
      <c r="L2" s="81"/>
      <c r="M2" s="85">
        <v>8800</v>
      </c>
      <c r="N2" s="23">
        <v>8800</v>
      </c>
      <c r="O2" s="23">
        <v>8800</v>
      </c>
      <c r="P2" s="23">
        <v>8800</v>
      </c>
      <c r="Q2" s="23">
        <v>8800</v>
      </c>
      <c r="R2" s="23">
        <v>8800</v>
      </c>
      <c r="S2" s="23">
        <v>8800</v>
      </c>
      <c r="T2" s="23">
        <v>8800</v>
      </c>
      <c r="U2" s="23">
        <v>8800</v>
      </c>
      <c r="V2" s="23">
        <v>8800</v>
      </c>
      <c r="W2" s="23">
        <v>8800</v>
      </c>
    </row>
    <row r="3" spans="1:23" s="2" customFormat="1" ht="22" x14ac:dyDescent="0.3">
      <c r="A3" s="53" t="s">
        <v>50</v>
      </c>
      <c r="B3" s="53" t="s">
        <v>90</v>
      </c>
      <c r="C3" s="23"/>
      <c r="D3" s="23"/>
      <c r="E3" s="23"/>
      <c r="F3" s="23"/>
      <c r="G3" s="23"/>
      <c r="H3" s="23"/>
      <c r="I3" s="23"/>
      <c r="J3" s="23"/>
      <c r="K3" s="89"/>
      <c r="L3" s="89"/>
      <c r="M3" s="90">
        <v>350</v>
      </c>
      <c r="N3" s="89">
        <f>M12</f>
        <v>350</v>
      </c>
      <c r="O3" s="89">
        <f t="shared" ref="O3:W3" si="0">N12</f>
        <v>350</v>
      </c>
      <c r="P3" s="89">
        <f t="shared" si="0"/>
        <v>350</v>
      </c>
      <c r="Q3" s="89">
        <f t="shared" si="0"/>
        <v>350</v>
      </c>
      <c r="R3" s="89">
        <f t="shared" si="0"/>
        <v>350</v>
      </c>
      <c r="S3" s="89">
        <f t="shared" si="0"/>
        <v>350</v>
      </c>
      <c r="T3" s="89">
        <f t="shared" si="0"/>
        <v>350</v>
      </c>
      <c r="U3" s="89">
        <f t="shared" si="0"/>
        <v>350</v>
      </c>
      <c r="V3" s="89">
        <f t="shared" si="0"/>
        <v>350</v>
      </c>
      <c r="W3" s="89">
        <f t="shared" si="0"/>
        <v>350</v>
      </c>
    </row>
    <row r="4" spans="1:23" s="3" customFormat="1" ht="22" x14ac:dyDescent="0.3">
      <c r="A4" s="42" t="s">
        <v>51</v>
      </c>
      <c r="B4" s="39" t="s">
        <v>9</v>
      </c>
      <c r="C4" s="40">
        <v>2000</v>
      </c>
      <c r="D4" s="40">
        <v>2000</v>
      </c>
      <c r="E4" s="40">
        <v>500</v>
      </c>
      <c r="F4" s="40">
        <v>500</v>
      </c>
      <c r="G4" s="40">
        <v>500</v>
      </c>
      <c r="H4" s="40">
        <v>500</v>
      </c>
      <c r="I4" s="40">
        <v>700</v>
      </c>
      <c r="J4" s="40">
        <v>2200</v>
      </c>
      <c r="K4" s="40">
        <v>2200</v>
      </c>
      <c r="L4" s="81"/>
      <c r="M4" s="87">
        <v>900</v>
      </c>
      <c r="N4" s="40">
        <v>900</v>
      </c>
      <c r="O4" s="40">
        <v>900</v>
      </c>
      <c r="P4" s="40">
        <v>900</v>
      </c>
      <c r="Q4" s="40">
        <v>900</v>
      </c>
      <c r="R4" s="40">
        <v>900</v>
      </c>
      <c r="S4" s="40">
        <v>900</v>
      </c>
      <c r="T4" s="40">
        <v>900</v>
      </c>
      <c r="U4" s="40">
        <v>900</v>
      </c>
      <c r="V4" s="40">
        <v>900</v>
      </c>
      <c r="W4" s="40">
        <v>900</v>
      </c>
    </row>
    <row r="5" spans="1:23" s="3" customFormat="1" ht="22" x14ac:dyDescent="0.3">
      <c r="A5" s="39" t="s">
        <v>51</v>
      </c>
      <c r="B5" s="41" t="s">
        <v>0</v>
      </c>
      <c r="C5" s="37">
        <v>7700</v>
      </c>
      <c r="D5" s="37">
        <v>7700</v>
      </c>
      <c r="E5" s="37">
        <v>7000</v>
      </c>
      <c r="F5" s="37">
        <v>6800</v>
      </c>
      <c r="G5" s="37">
        <v>7000</v>
      </c>
      <c r="H5" s="37">
        <v>7300</v>
      </c>
      <c r="I5" s="37">
        <v>7750</v>
      </c>
      <c r="J5" s="37">
        <v>8000</v>
      </c>
      <c r="K5" s="37">
        <v>8000</v>
      </c>
      <c r="L5" s="81"/>
      <c r="M5" s="88">
        <v>7700</v>
      </c>
      <c r="N5" s="37">
        <v>7700</v>
      </c>
      <c r="O5" s="37">
        <v>7700</v>
      </c>
      <c r="P5" s="37">
        <v>7700</v>
      </c>
      <c r="Q5" s="37">
        <v>7700</v>
      </c>
      <c r="R5" s="37">
        <v>7700</v>
      </c>
      <c r="S5" s="37">
        <v>7700</v>
      </c>
      <c r="T5" s="37">
        <v>7700</v>
      </c>
      <c r="U5" s="37">
        <v>7700</v>
      </c>
      <c r="V5" s="37">
        <v>7700</v>
      </c>
      <c r="W5" s="37">
        <v>7700</v>
      </c>
    </row>
    <row r="6" spans="1:23" s="38" customFormat="1" ht="22" x14ac:dyDescent="0.3">
      <c r="A6" s="39" t="s">
        <v>51</v>
      </c>
      <c r="B6" s="41" t="s">
        <v>22</v>
      </c>
      <c r="C6" s="37">
        <v>110</v>
      </c>
      <c r="D6" s="37">
        <v>110</v>
      </c>
      <c r="E6" s="37">
        <v>110</v>
      </c>
      <c r="F6" s="37">
        <v>110</v>
      </c>
      <c r="G6" s="37">
        <v>110</v>
      </c>
      <c r="H6" s="37">
        <v>110</v>
      </c>
      <c r="I6" s="37">
        <v>110</v>
      </c>
      <c r="J6" s="37">
        <v>110</v>
      </c>
      <c r="K6" s="37">
        <v>110</v>
      </c>
      <c r="L6" s="81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</row>
    <row r="7" spans="1:23" s="38" customFormat="1" ht="22" x14ac:dyDescent="0.3">
      <c r="A7" s="39" t="s">
        <v>51</v>
      </c>
      <c r="B7" s="36" t="s">
        <v>80</v>
      </c>
      <c r="C7" s="37">
        <v>900</v>
      </c>
      <c r="D7" s="37">
        <v>900</v>
      </c>
      <c r="E7" s="37">
        <v>900</v>
      </c>
      <c r="F7" s="37">
        <v>900</v>
      </c>
      <c r="G7" s="37"/>
      <c r="H7" s="37"/>
      <c r="I7" s="37"/>
      <c r="J7" s="37"/>
      <c r="K7" s="37"/>
      <c r="L7" s="81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3" s="3" customFormat="1" ht="22" x14ac:dyDescent="0.3">
      <c r="A8" s="39" t="s">
        <v>51</v>
      </c>
      <c r="B8" s="41" t="s">
        <v>18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81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3" s="3" customFormat="1" ht="22" x14ac:dyDescent="0.3">
      <c r="A9" s="39" t="s">
        <v>51</v>
      </c>
      <c r="B9" s="42" t="s">
        <v>86</v>
      </c>
      <c r="C9" s="40">
        <v>0</v>
      </c>
      <c r="D9" s="40">
        <v>200</v>
      </c>
      <c r="E9" s="40">
        <v>200</v>
      </c>
      <c r="F9" s="40">
        <v>200</v>
      </c>
      <c r="G9" s="40">
        <v>200</v>
      </c>
      <c r="H9" s="40">
        <v>200</v>
      </c>
      <c r="I9" s="40">
        <v>200</v>
      </c>
      <c r="J9" s="40">
        <v>200</v>
      </c>
      <c r="K9" s="40">
        <v>200</v>
      </c>
      <c r="L9" s="81"/>
      <c r="M9" s="87">
        <v>200</v>
      </c>
      <c r="N9" s="40">
        <v>200</v>
      </c>
      <c r="O9" s="40">
        <v>200</v>
      </c>
      <c r="P9" s="40">
        <v>200</v>
      </c>
      <c r="Q9" s="40">
        <v>200</v>
      </c>
      <c r="R9" s="40">
        <v>200</v>
      </c>
      <c r="S9" s="40">
        <v>200</v>
      </c>
      <c r="T9" s="40">
        <v>200</v>
      </c>
      <c r="U9" s="40">
        <v>200</v>
      </c>
      <c r="V9" s="40">
        <v>200</v>
      </c>
      <c r="W9" s="40">
        <v>200</v>
      </c>
    </row>
    <row r="10" spans="1:23" s="3" customFormat="1" ht="22" x14ac:dyDescent="0.3">
      <c r="A10" s="42" t="s">
        <v>51</v>
      </c>
      <c r="B10" s="42" t="s">
        <v>83</v>
      </c>
      <c r="C10" s="40"/>
      <c r="D10" s="40"/>
      <c r="E10" s="40"/>
      <c r="F10" s="40"/>
      <c r="G10" s="40"/>
      <c r="H10" s="40">
        <v>607</v>
      </c>
      <c r="I10" s="40"/>
      <c r="J10" s="40"/>
      <c r="K10" s="40"/>
      <c r="L10" s="81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</row>
    <row r="11" spans="1:23" s="3" customFormat="1" ht="22" x14ac:dyDescent="0.3">
      <c r="A11" s="42" t="s">
        <v>51</v>
      </c>
      <c r="B11" s="39" t="s">
        <v>24</v>
      </c>
      <c r="C11" s="40">
        <v>0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81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</row>
    <row r="12" spans="1:23" s="46" customFormat="1" ht="22" x14ac:dyDescent="0.3">
      <c r="A12" s="44" t="s">
        <v>77</v>
      </c>
      <c r="B12" s="44" t="s">
        <v>16</v>
      </c>
      <c r="C12" s="45">
        <f>SUMIF(btrn[[Movement]:[Movement]],"Credit", btrn[2024-05-01])-SUMIF(btrn[[Movement]:[Movement]],"Debit",btrn[2024-05-01])</f>
        <v>290</v>
      </c>
      <c r="D12" s="45">
        <f>SUMIF(btrn[[Movement]:[Movement]],"Credit", btrn[2024-06-01])-SUMIF(btrn[[Movement]:[Movement]],"Debit",btrn[2024-06-01])</f>
        <v>90</v>
      </c>
      <c r="E12" s="45">
        <f>SUMIF(btrn[[Movement]:[Movement]],"Credit", btrn[2024-07-01])-SUMIF(btrn[[Movement]:[Movement]],"Debit",btrn[2024-07-01])</f>
        <v>90</v>
      </c>
      <c r="F12" s="45">
        <f>SUMIF(btrn[[Movement]:[Movement]],"Credit", btrn[2024-08-01])-SUMIF(btrn[[Movement]:[Movement]],"Debit",btrn[2024-08-01])</f>
        <v>290</v>
      </c>
      <c r="G12" s="45">
        <f>SUMIF(btrn[[Movement]:[Movement]],"Credit", btrn[2024-09-01])-SUMIF(btrn[[Movement]:[Movement]],"Debit",btrn[2024-09-01])</f>
        <v>990</v>
      </c>
      <c r="H12" s="45">
        <f>SUMIF(btrn[[Movement]:[Movement]],"Credit", btrn[2024-10-01])-SUMIF(btrn[[Movement]:[Movement]],"Debit",btrn[2024-10-01])</f>
        <v>83</v>
      </c>
      <c r="I12" s="45">
        <f>SUMIF(btrn[[Movement]:[Movement]],"Credit", btrn[2024-11-01])-SUMIF(btrn[[Movement]:[Movement]],"Debit",btrn[2024-11-01])</f>
        <v>40</v>
      </c>
      <c r="J12" s="45">
        <f>SUMIF(btrn[[Movement]:[Movement]],"Credit", btrn[2024-12-01])-SUMIF(btrn[[Movement]:[Movement]],"Debit",btrn[2024-12-01])</f>
        <v>790</v>
      </c>
      <c r="K12" s="45">
        <f>SUMIF(btrn[[Movement]:[Movement]],"Credit", btrn[2024-12-02])-SUMIF(btrn[[Movement]:[Movement]],"Debit",btrn[2024-12-02])</f>
        <v>790</v>
      </c>
      <c r="L12" s="82"/>
      <c r="M12" s="12">
        <f>SUMIF(btrn[Movement], "Credit", btrn[2025-02-01]) - SUMIF(btrn[Movement], "Debit", btrn[2025-02-01])</f>
        <v>350</v>
      </c>
      <c r="N12" s="12">
        <f>SUMIF(btrn[Movement], "Credit", btrn[2025-03-01]) - SUMIF(btrn[Movement], "Debit", btrn[2025-03-01])</f>
        <v>350</v>
      </c>
      <c r="O12" s="12">
        <f>SUMIF(btrn[Movement], "Credit", btrn[2025-04-01]) - SUMIF(btrn[Movement], "Debit", btrn[2025-04-01])</f>
        <v>350</v>
      </c>
      <c r="P12" s="12">
        <f>SUMIF(btrn[Movement], "Credit", btrn[2025-05-01]) - SUMIF(btrn[Movement], "Debit", btrn[2025-05-01])</f>
        <v>350</v>
      </c>
      <c r="Q12" s="12">
        <f>SUMIF(btrn[Movement], "Credit", btrn[2025-06-01]) - SUMIF(btrn[Movement], "Debit", btrn[2025-06-01])</f>
        <v>350</v>
      </c>
      <c r="R12" s="12">
        <f>SUMIF(btrn[Movement], "Credit", btrn[2025-07-01]) - SUMIF(btrn[Movement], "Debit", btrn[2025-07-01])</f>
        <v>350</v>
      </c>
      <c r="S12" s="12">
        <f>SUMIF(btrn[Movement], "Credit", btrn[2025-08-01]) - SUMIF(btrn[Movement], "Debit", btrn[2025-08-01])</f>
        <v>350</v>
      </c>
      <c r="T12" s="12">
        <f>SUMIF(btrn[Movement], "Credit", btrn[2025-09-01]) - SUMIF(btrn[Movement], "Debit", btrn[2025-09-01])</f>
        <v>350</v>
      </c>
      <c r="U12" s="12">
        <f>SUMIF(btrn[Movement], "Credit", btrn[2025-10-01]) - SUMIF(btrn[Movement], "Debit", btrn[2025-10-01])</f>
        <v>350</v>
      </c>
      <c r="V12" s="12">
        <f>SUMIF(btrn[Movement], "Credit", btrn[2025-11-01]) - SUMIF(btrn[Movement], "Debit", btrn[2025-11-01])</f>
        <v>350</v>
      </c>
      <c r="W12" s="12">
        <f>SUMIF(btrn[Movement], "Credit", btrn[2025-12-01]) - SUMIF(btrn[Movement], "Debit", btrn[2025-12-01])</f>
        <v>350</v>
      </c>
    </row>
  </sheetData>
  <phoneticPr fontId="4" type="noConversion"/>
  <pageMargins left="0.7" right="0.7" top="0.75" bottom="0.75" header="0.3" footer="0.3"/>
  <pageSetup paperSize="9" orientation="portrait" horizontalDpi="0" verticalDpi="0"/>
  <ignoredErrors>
    <ignoredError sqref="M2:W2 M7:W7 N10:W10 M9:W9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6735-C138-F644-A424-ED72186314BD}">
  <dimension ref="A1:U17"/>
  <sheetViews>
    <sheetView topLeftCell="A4" workbookViewId="0">
      <selection activeCell="K13" sqref="K13"/>
    </sheetView>
  </sheetViews>
  <sheetFormatPr baseColWidth="10" defaultRowHeight="16" x14ac:dyDescent="0.2"/>
  <cols>
    <col min="1" max="1" width="20.1640625" customWidth="1"/>
    <col min="2" max="2" width="29.83203125" bestFit="1" customWidth="1"/>
    <col min="3" max="10" width="16.5" hidden="1" customWidth="1"/>
    <col min="11" max="21" width="18.33203125" customWidth="1"/>
  </cols>
  <sheetData>
    <row r="1" spans="1:21" x14ac:dyDescent="0.2">
      <c r="A1" t="s">
        <v>115</v>
      </c>
      <c r="B1" t="s">
        <v>116</v>
      </c>
    </row>
    <row r="2" spans="1:21" x14ac:dyDescent="0.2">
      <c r="A2" t="s">
        <v>117</v>
      </c>
      <c r="B2">
        <v>0.16750000000000001</v>
      </c>
    </row>
    <row r="3" spans="1:21" x14ac:dyDescent="0.2">
      <c r="A3" t="s">
        <v>118</v>
      </c>
      <c r="B3">
        <f>B2/12</f>
        <v>1.3958333333333335E-2</v>
      </c>
    </row>
    <row r="7" spans="1:21" ht="17" thickBot="1" x14ac:dyDescent="0.25">
      <c r="A7" s="6" t="s">
        <v>23</v>
      </c>
      <c r="B7" s="14" t="s">
        <v>49</v>
      </c>
      <c r="C7" s="20" t="s">
        <v>38</v>
      </c>
      <c r="D7" s="20" t="s">
        <v>39</v>
      </c>
      <c r="E7" s="20" t="s">
        <v>41</v>
      </c>
      <c r="F7" s="20" t="s">
        <v>40</v>
      </c>
      <c r="G7" s="20" t="s">
        <v>42</v>
      </c>
      <c r="H7" s="20" t="s">
        <v>43</v>
      </c>
      <c r="I7" s="20" t="s">
        <v>44</v>
      </c>
      <c r="J7" s="20" t="s">
        <v>45</v>
      </c>
      <c r="K7" s="83" t="s">
        <v>53</v>
      </c>
      <c r="L7" s="83" t="s">
        <v>54</v>
      </c>
      <c r="M7" s="83" t="s">
        <v>55</v>
      </c>
      <c r="N7" s="83" t="s">
        <v>57</v>
      </c>
      <c r="O7" s="83" t="s">
        <v>56</v>
      </c>
      <c r="P7" s="83" t="s">
        <v>58</v>
      </c>
      <c r="Q7" s="83" t="s">
        <v>59</v>
      </c>
      <c r="R7" s="83" t="s">
        <v>60</v>
      </c>
      <c r="S7" s="83" t="s">
        <v>61</v>
      </c>
      <c r="T7" s="83" t="s">
        <v>62</v>
      </c>
      <c r="U7" s="83" t="s">
        <v>63</v>
      </c>
    </row>
    <row r="8" spans="1:21" s="2" customFormat="1" ht="22" x14ac:dyDescent="0.3">
      <c r="A8" s="22" t="s">
        <v>50</v>
      </c>
      <c r="B8" s="22" t="s">
        <v>16</v>
      </c>
      <c r="C8" s="21">
        <v>2000</v>
      </c>
      <c r="D8" s="21">
        <v>0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86">
        <v>900</v>
      </c>
      <c r="L8" s="57">
        <v>900</v>
      </c>
      <c r="M8" s="57">
        <v>900</v>
      </c>
      <c r="N8" s="57">
        <v>900</v>
      </c>
      <c r="O8" s="57">
        <v>900</v>
      </c>
      <c r="P8" s="57">
        <v>900</v>
      </c>
      <c r="Q8" s="57">
        <v>900</v>
      </c>
      <c r="R8" s="57">
        <v>900</v>
      </c>
      <c r="S8" s="57">
        <v>900</v>
      </c>
      <c r="T8" s="57">
        <v>900</v>
      </c>
      <c r="U8" s="57">
        <v>900</v>
      </c>
    </row>
    <row r="9" spans="1:21" s="2" customFormat="1" ht="22" x14ac:dyDescent="0.3">
      <c r="A9" s="15" t="s">
        <v>50</v>
      </c>
      <c r="B9" s="15" t="s">
        <v>90</v>
      </c>
      <c r="C9" s="7"/>
      <c r="D9" s="7"/>
      <c r="E9" s="7"/>
      <c r="F9" s="7"/>
      <c r="G9" s="7"/>
      <c r="H9" s="7"/>
      <c r="I9" s="7"/>
      <c r="J9" s="7"/>
      <c r="K9" s="86">
        <v>-30</v>
      </c>
      <c r="L9" s="57">
        <f>K16</f>
        <v>-5230</v>
      </c>
      <c r="M9" s="57">
        <f t="shared" ref="M9:U9" si="0">L16</f>
        <v>-4403.0020833333338</v>
      </c>
      <c r="N9" s="57">
        <f t="shared" si="0"/>
        <v>-3564.4606540798613</v>
      </c>
      <c r="O9" s="57">
        <f t="shared" si="0"/>
        <v>-2714.2145840430594</v>
      </c>
      <c r="P9" s="57">
        <f t="shared" si="0"/>
        <v>-1852.1004959453271</v>
      </c>
      <c r="Q9" s="57">
        <f t="shared" si="0"/>
        <v>-977.95273203456395</v>
      </c>
      <c r="R9" s="57">
        <f t="shared" si="0"/>
        <v>-3591.6033222525466</v>
      </c>
      <c r="S9" s="57">
        <f t="shared" si="0"/>
        <v>-2741.7361186256549</v>
      </c>
      <c r="T9" s="57">
        <f t="shared" si="0"/>
        <v>-1880.0061852814713</v>
      </c>
      <c r="U9" s="57">
        <f t="shared" si="0"/>
        <v>-1006.2479382843585</v>
      </c>
    </row>
    <row r="10" spans="1:21" s="3" customFormat="1" ht="22" x14ac:dyDescent="0.3">
      <c r="A10" s="25" t="s">
        <v>51</v>
      </c>
      <c r="B10" s="25" t="s">
        <v>114</v>
      </c>
      <c r="C10" s="51"/>
      <c r="D10" s="51"/>
      <c r="E10" s="51"/>
      <c r="F10" s="51"/>
      <c r="G10" s="51"/>
      <c r="H10" s="51"/>
      <c r="I10" s="51"/>
      <c r="J10" s="51"/>
      <c r="K10" s="52"/>
      <c r="L10" s="52">
        <f>IF(L9 &lt;= 0, (L9*$B$3)*-1, 0)</f>
        <v>73.002083333333346</v>
      </c>
      <c r="M10" s="52">
        <f t="shared" ref="M10:U10" si="1">IF(M9 &lt;= 0, (M9*$B$3)*-1, 0)</f>
        <v>61.458570746527791</v>
      </c>
      <c r="N10" s="52">
        <f t="shared" si="1"/>
        <v>49.753929963198068</v>
      </c>
      <c r="O10" s="52">
        <f t="shared" si="1"/>
        <v>37.885911902267708</v>
      </c>
      <c r="P10" s="52">
        <f t="shared" si="1"/>
        <v>25.852236089236861</v>
      </c>
      <c r="Q10" s="52">
        <f t="shared" si="1"/>
        <v>13.650590217982456</v>
      </c>
      <c r="R10" s="52">
        <f t="shared" si="1"/>
        <v>50.132796373108469</v>
      </c>
      <c r="S10" s="52">
        <f t="shared" si="1"/>
        <v>38.270066655816436</v>
      </c>
      <c r="T10" s="52">
        <f t="shared" si="1"/>
        <v>26.241753002887204</v>
      </c>
      <c r="U10" s="52">
        <f t="shared" si="1"/>
        <v>14.045544138552506</v>
      </c>
    </row>
    <row r="11" spans="1:21" s="3" customFormat="1" ht="22" x14ac:dyDescent="0.3">
      <c r="A11" s="25" t="s">
        <v>51</v>
      </c>
      <c r="B11" s="25" t="s">
        <v>84</v>
      </c>
      <c r="C11" s="51"/>
      <c r="D11" s="51"/>
      <c r="E11" s="51">
        <v>3550</v>
      </c>
      <c r="F11" s="51"/>
      <c r="G11" s="51"/>
      <c r="H11" s="51"/>
      <c r="I11" s="51"/>
      <c r="J11" s="51"/>
      <c r="K11" s="52">
        <v>3500</v>
      </c>
      <c r="L11" s="52"/>
      <c r="M11" s="52"/>
      <c r="N11" s="52"/>
      <c r="O11" s="52"/>
      <c r="P11" s="52"/>
      <c r="Q11" s="52">
        <v>3500</v>
      </c>
      <c r="R11" s="52"/>
      <c r="S11" s="52"/>
      <c r="T11" s="52"/>
      <c r="U11" s="52"/>
    </row>
    <row r="12" spans="1:21" s="3" customFormat="1" ht="22" x14ac:dyDescent="0.3">
      <c r="A12" s="25" t="s">
        <v>51</v>
      </c>
      <c r="B12" s="25" t="s">
        <v>110</v>
      </c>
      <c r="C12" s="51"/>
      <c r="D12" s="51"/>
      <c r="E12" s="51"/>
      <c r="F12" s="51"/>
      <c r="G12" s="51"/>
      <c r="H12" s="51"/>
      <c r="I12" s="51"/>
      <c r="J12" s="51"/>
      <c r="K12" s="91">
        <v>1600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</row>
    <row r="13" spans="1:21" s="3" customFormat="1" ht="22" x14ac:dyDescent="0.3">
      <c r="A13" s="25" t="s">
        <v>51</v>
      </c>
      <c r="B13" s="36" t="s">
        <v>17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52">
        <v>1000</v>
      </c>
      <c r="L13" s="52"/>
      <c r="M13" s="52"/>
      <c r="N13" s="52"/>
      <c r="O13" s="52"/>
      <c r="P13" s="52"/>
      <c r="Q13" s="52"/>
      <c r="R13" s="52"/>
      <c r="S13" s="52"/>
      <c r="T13" s="52"/>
      <c r="U13" s="52"/>
    </row>
    <row r="14" spans="1:21" s="3" customFormat="1" ht="22" x14ac:dyDescent="0.3">
      <c r="A14" s="25" t="s">
        <v>51</v>
      </c>
      <c r="B14" s="42"/>
      <c r="C14" s="51"/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</row>
    <row r="15" spans="1:21" s="3" customFormat="1" ht="22" x14ac:dyDescent="0.3">
      <c r="A15" s="25" t="s">
        <v>51</v>
      </c>
      <c r="B15" s="42"/>
      <c r="C15" s="51"/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</row>
    <row r="16" spans="1:21" ht="22" x14ac:dyDescent="0.3">
      <c r="A16" s="32" t="s">
        <v>77</v>
      </c>
      <c r="B16" s="32" t="s">
        <v>9</v>
      </c>
      <c r="C16" s="35">
        <f>SUMIF(bcc_1[[Movement]:[Movement]],"Credit", bcc_1[2024-05-01])-SUMIF(bcc_1[[Movement]:[Movement]],"Debit",bcc_1[2024-05-01])</f>
        <v>2000</v>
      </c>
      <c r="D16" s="35">
        <f>SUMIF(bcc_1[[Movement]:[Movement]],"Credit", bcc_1[2024-06-01])-SUMIF(bcc_1[[Movement]:[Movement]],"Debit",bcc_1[2024-06-01])</f>
        <v>0</v>
      </c>
      <c r="E16" s="35">
        <f>SUMIF(bcc_1[[Movement]:[Movement]],"Credit", bcc_1[2024-07-01])-SUMIF(bcc_1[[Movement]:[Movement]],"Debit",bcc_1[2024-07-01])</f>
        <v>-3050</v>
      </c>
      <c r="F16" s="35">
        <f>SUMIF(bcc_1[[Movement]:[Movement]],"Credit", bcc_1[2024-08-01])-SUMIF(bcc_1[[Movement]:[Movement]],"Debit",bcc_1[2024-08-01])</f>
        <v>500</v>
      </c>
      <c r="G16" s="35">
        <f>SUMIF(bcc_1[[Movement]:[Movement]],"Credit", bcc_1[2024-09-01])-SUMIF(bcc_1[[Movement]:[Movement]],"Debit",bcc_1[2024-09-01])</f>
        <v>500</v>
      </c>
      <c r="H16" s="35">
        <f>SUMIF(bcc_1[[Movement]:[Movement]],"Credit", bcc_1[2024-10-01])-SUMIF(bcc_1[[Movement]:[Movement]],"Debit",bcc_1[2024-10-01])</f>
        <v>500</v>
      </c>
      <c r="I16" s="35">
        <f>SUMIF(bcc_1[[Movement]:[Movement]],"Credit", bcc_1[2024-11-01])-SUMIF(bcc_1[[Movement]:[Movement]],"Debit",bcc_1[2024-11-01])</f>
        <v>500</v>
      </c>
      <c r="J16" s="35">
        <f>SUMIF(bcc_1[[Movement]:[Movement]],"Credit", bcc_1[2024-12-01])-SUMIF(bcc_1[[Movement]:[Movement]],"Debit",bcc_1[2024-12-01])</f>
        <v>500</v>
      </c>
      <c r="K16" s="12">
        <f>SUMIF(bcc_1[Movement], "Credit", bcc_1[2025-02-01]) - SUMIF(bcc_1[Movement], "Debit", bcc_1[2025-02-01])</f>
        <v>-5230</v>
      </c>
      <c r="L16" s="12">
        <f>SUMIF(bcc_1[Movement], "Credit", bcc_1[2025-03-01]) - SUMIF(bcc_1[Movement], "Debit", bcc_1[2025-03-01])</f>
        <v>-4403.0020833333338</v>
      </c>
      <c r="M16" s="12">
        <f>SUMIF(bcc_1[Movement], "Credit", bcc_1[2025-04-01]) - SUMIF(bcc_1[Movement], "Debit", bcc_1[2025-04-01])</f>
        <v>-3564.4606540798613</v>
      </c>
      <c r="N16" s="12">
        <f>SUMIF(bcc_1[Movement], "Credit", bcc_1[2025-05-01]) - SUMIF(bcc_1[Movement], "Debit", bcc_1[2025-05-01])</f>
        <v>-2714.2145840430594</v>
      </c>
      <c r="O16" s="12">
        <f>SUMIF(bcc_1[Movement], "Credit", bcc_1[2025-06-01]) - SUMIF(bcc_1[Movement], "Debit", bcc_1[2025-06-01])</f>
        <v>-1852.1004959453271</v>
      </c>
      <c r="P16" s="12">
        <f>SUMIF(bcc_1[Movement], "Credit", bcc_1[2025-07-01]) - SUMIF(bcc_1[Movement], "Debit", bcc_1[2025-07-01])</f>
        <v>-977.95273203456395</v>
      </c>
      <c r="Q16" s="12">
        <f>SUMIF(bcc_1[Movement], "Credit", bcc_1[2025-08-01]) - SUMIF(bcc_1[Movement], "Debit", bcc_1[2025-08-01])</f>
        <v>-3591.6033222525466</v>
      </c>
      <c r="R16" s="12">
        <f>SUMIF(bcc_1[Movement], "Credit", bcc_1[2025-09-01]) - SUMIF(bcc_1[Movement], "Debit", bcc_1[2025-09-01])</f>
        <v>-2741.7361186256549</v>
      </c>
      <c r="S16" s="12">
        <f>SUMIF(bcc_1[Movement], "Credit", bcc_1[2025-10-01]) - SUMIF(bcc_1[Movement], "Debit", bcc_1[2025-10-01])</f>
        <v>-1880.0061852814713</v>
      </c>
      <c r="T16" s="12">
        <f>SUMIF(bcc_1[Movement], "Credit", bcc_1[2025-11-01]) - SUMIF(bcc_1[Movement], "Debit", bcc_1[2025-11-01])</f>
        <v>-1006.2479382843585</v>
      </c>
      <c r="U16" s="12">
        <f>SUMIF(bcc_1[Movement], "Credit", bcc_1[2025-12-01]) - SUMIF(bcc_1[Movement], "Debit", bcc_1[2025-12-01])</f>
        <v>-120.293482422911</v>
      </c>
    </row>
    <row r="17" spans="1:21" ht="22" x14ac:dyDescent="0.3">
      <c r="A17" s="32" t="s">
        <v>119</v>
      </c>
      <c r="B17" s="32" t="s">
        <v>9</v>
      </c>
      <c r="C17" s="12"/>
      <c r="D17" s="12"/>
      <c r="E17" s="12"/>
      <c r="F17" s="12"/>
      <c r="G17" s="12"/>
      <c r="H17" s="12"/>
      <c r="I17" s="12"/>
      <c r="J17" s="12"/>
      <c r="K17" s="84">
        <f>SUMIF(bcc_1[Movement], "Debit", bcc_1[2025-02-01])</f>
        <v>6100</v>
      </c>
      <c r="L17" s="84">
        <f>SUMIF(bcc_1[Movement], "Debit", bcc_1[2025-03-01])</f>
        <v>73.002083333333346</v>
      </c>
      <c r="M17" s="84">
        <f>SUMIF(bcc_1[Movement], "Debit", bcc_1[2025-04-01])</f>
        <v>61.458570746527791</v>
      </c>
      <c r="N17" s="84">
        <f>SUMIF(bcc_1[Movement], "Debit", bcc_1[2025-05-01])</f>
        <v>49.753929963198068</v>
      </c>
      <c r="O17" s="84">
        <f>SUMIF(bcc_1[Movement], "Debit", bcc_1[2025-06-01])</f>
        <v>37.885911902267708</v>
      </c>
      <c r="P17" s="84">
        <f>SUMIF(bcc_1[Movement], "Debit", bcc_1[2025-07-01])</f>
        <v>25.852236089236861</v>
      </c>
      <c r="Q17" s="84">
        <f>SUMIF(bcc_1[Movement], "Debit", bcc_1[2025-08-01])</f>
        <v>3513.6505902179824</v>
      </c>
      <c r="R17" s="84">
        <f>SUMIF(bcc_1[Movement], "Debit", bcc_1[2025-09-01])</f>
        <v>50.132796373108469</v>
      </c>
      <c r="S17" s="84">
        <f>SUMIF(bcc_1[Movement], "Debit", bcc_1[2025-10-01])</f>
        <v>38.270066655816436</v>
      </c>
      <c r="T17" s="84">
        <f>SUMIF(bcc_1[Movement], "Debit", bcc_1[2025-11-01])</f>
        <v>26.241753002887204</v>
      </c>
      <c r="U17" s="84">
        <f>SUMIF(bcc_1[Movement], "Debit", bcc_1[2025-12-01])</f>
        <v>14.045544138552506</v>
      </c>
    </row>
  </sheetData>
  <conditionalFormatting sqref="A16:XFD16">
    <cfRule type="cellIs" dxfId="25" priority="1" operator="lessThan">
      <formula>0</formula>
    </cfRule>
    <cfRule type="cellIs" dxfId="24" priority="2" stopIfTrue="1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75A7-4982-0143-90A4-7D7E17A0DFF0}">
  <dimension ref="A1:U17"/>
  <sheetViews>
    <sheetView workbookViewId="0">
      <selection activeCell="K9" sqref="K9"/>
    </sheetView>
  </sheetViews>
  <sheetFormatPr baseColWidth="10" defaultRowHeight="16" x14ac:dyDescent="0.2"/>
  <cols>
    <col min="1" max="1" width="20.1640625" customWidth="1"/>
    <col min="2" max="2" width="29.83203125" bestFit="1" customWidth="1"/>
    <col min="3" max="10" width="16.5" hidden="1" customWidth="1"/>
    <col min="11" max="21" width="18.33203125" customWidth="1"/>
  </cols>
  <sheetData>
    <row r="1" spans="1:21" x14ac:dyDescent="0.2">
      <c r="A1" t="s">
        <v>115</v>
      </c>
      <c r="B1" t="s">
        <v>116</v>
      </c>
    </row>
    <row r="2" spans="1:21" x14ac:dyDescent="0.2">
      <c r="A2" t="s">
        <v>117</v>
      </c>
      <c r="B2">
        <v>0.21149999999999999</v>
      </c>
    </row>
    <row r="3" spans="1:21" x14ac:dyDescent="0.2">
      <c r="A3" t="s">
        <v>118</v>
      </c>
      <c r="B3">
        <f>B2/12</f>
        <v>1.7624999999999998E-2</v>
      </c>
    </row>
    <row r="7" spans="1:21" ht="17" thickBot="1" x14ac:dyDescent="0.25">
      <c r="A7" s="6" t="s">
        <v>23</v>
      </c>
      <c r="B7" s="14" t="s">
        <v>49</v>
      </c>
      <c r="C7" s="20" t="s">
        <v>38</v>
      </c>
      <c r="D7" s="20" t="s">
        <v>39</v>
      </c>
      <c r="E7" s="20" t="s">
        <v>41</v>
      </c>
      <c r="F7" s="20" t="s">
        <v>40</v>
      </c>
      <c r="G7" s="20" t="s">
        <v>42</v>
      </c>
      <c r="H7" s="20" t="s">
        <v>43</v>
      </c>
      <c r="I7" s="20" t="s">
        <v>44</v>
      </c>
      <c r="J7" s="20" t="s">
        <v>45</v>
      </c>
      <c r="K7" s="83" t="s">
        <v>53</v>
      </c>
      <c r="L7" s="83" t="s">
        <v>54</v>
      </c>
      <c r="M7" s="83" t="s">
        <v>55</v>
      </c>
      <c r="N7" s="83" t="s">
        <v>57</v>
      </c>
      <c r="O7" s="83" t="s">
        <v>56</v>
      </c>
      <c r="P7" s="83" t="s">
        <v>58</v>
      </c>
      <c r="Q7" s="83" t="s">
        <v>59</v>
      </c>
      <c r="R7" s="83" t="s">
        <v>60</v>
      </c>
      <c r="S7" s="83" t="s">
        <v>61</v>
      </c>
      <c r="T7" s="83" t="s">
        <v>62</v>
      </c>
      <c r="U7" s="83" t="s">
        <v>63</v>
      </c>
    </row>
    <row r="8" spans="1:21" s="2" customFormat="1" ht="22" x14ac:dyDescent="0.3">
      <c r="A8" s="22" t="s">
        <v>50</v>
      </c>
      <c r="B8" s="22" t="s">
        <v>0</v>
      </c>
      <c r="C8" s="21">
        <v>2000</v>
      </c>
      <c r="D8" s="21">
        <v>0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86">
        <v>1000</v>
      </c>
      <c r="L8" s="57">
        <v>1900</v>
      </c>
      <c r="M8" s="57">
        <v>1900</v>
      </c>
      <c r="N8" s="57">
        <v>1900</v>
      </c>
      <c r="O8" s="57">
        <v>1900</v>
      </c>
      <c r="P8" s="57">
        <v>1900</v>
      </c>
      <c r="Q8" s="57">
        <v>1900</v>
      </c>
      <c r="R8" s="57">
        <v>1900</v>
      </c>
      <c r="S8" s="57">
        <v>1900</v>
      </c>
      <c r="T8" s="57">
        <v>1900</v>
      </c>
      <c r="U8" s="57">
        <v>1900</v>
      </c>
    </row>
    <row r="9" spans="1:21" s="2" customFormat="1" ht="22" x14ac:dyDescent="0.3">
      <c r="A9" s="15" t="s">
        <v>50</v>
      </c>
      <c r="B9" s="15" t="s">
        <v>90</v>
      </c>
      <c r="C9" s="7"/>
      <c r="D9" s="7"/>
      <c r="E9" s="7"/>
      <c r="F9" s="7"/>
      <c r="G9" s="7"/>
      <c r="H9" s="7"/>
      <c r="I9" s="7"/>
      <c r="J9" s="7"/>
      <c r="K9" s="86">
        <v>-9156</v>
      </c>
      <c r="L9" s="57">
        <f>K16</f>
        <v>-8980</v>
      </c>
      <c r="M9" s="57">
        <f t="shared" ref="M9:U9" si="0">L16</f>
        <v>-8062.2725</v>
      </c>
      <c r="N9" s="57">
        <f t="shared" si="0"/>
        <v>-7128.3700528125</v>
      </c>
      <c r="O9" s="57">
        <f t="shared" si="0"/>
        <v>-6178.0075749933203</v>
      </c>
      <c r="P9" s="57">
        <f t="shared" si="0"/>
        <v>-5210.8949585025775</v>
      </c>
      <c r="Q9" s="57">
        <f t="shared" si="0"/>
        <v>-4226.7369821461853</v>
      </c>
      <c r="R9" s="57">
        <f t="shared" si="0"/>
        <v>-3225.2332214565117</v>
      </c>
      <c r="S9" s="57">
        <f t="shared" si="0"/>
        <v>-2206.0779569846827</v>
      </c>
      <c r="T9" s="57">
        <f t="shared" si="0"/>
        <v>-1168.9600809765377</v>
      </c>
      <c r="U9" s="57">
        <f t="shared" si="0"/>
        <v>-113.56300240374912</v>
      </c>
    </row>
    <row r="10" spans="1:21" s="3" customFormat="1" ht="22" x14ac:dyDescent="0.3">
      <c r="A10" s="25" t="s">
        <v>51</v>
      </c>
      <c r="B10" s="25" t="s">
        <v>114</v>
      </c>
      <c r="C10" s="51"/>
      <c r="D10" s="51"/>
      <c r="E10" s="51"/>
      <c r="F10" s="51"/>
      <c r="G10" s="51"/>
      <c r="H10" s="51"/>
      <c r="I10" s="51"/>
      <c r="J10" s="51"/>
      <c r="K10" s="52"/>
      <c r="L10" s="52">
        <f>IF(L9 &lt;= 0, (L9*$B$3)*-1, 0)</f>
        <v>158.27249999999998</v>
      </c>
      <c r="M10" s="52">
        <f t="shared" ref="M10:U10" si="1">IF(M9 &lt;= 0, (M9*$B$3)*-1, 0)</f>
        <v>142.0975528125</v>
      </c>
      <c r="N10" s="52">
        <f t="shared" si="1"/>
        <v>125.6375221808203</v>
      </c>
      <c r="O10" s="52">
        <f t="shared" si="1"/>
        <v>108.88738350925726</v>
      </c>
      <c r="P10" s="52">
        <f t="shared" si="1"/>
        <v>91.842023643607916</v>
      </c>
      <c r="Q10" s="52">
        <f t="shared" si="1"/>
        <v>74.496239310326501</v>
      </c>
      <c r="R10" s="52">
        <f t="shared" si="1"/>
        <v>56.844735528171014</v>
      </c>
      <c r="S10" s="52">
        <f t="shared" si="1"/>
        <v>38.882123991855032</v>
      </c>
      <c r="T10" s="52">
        <f t="shared" si="1"/>
        <v>20.602921427211474</v>
      </c>
      <c r="U10" s="52">
        <f t="shared" si="1"/>
        <v>2.0015479173660782</v>
      </c>
    </row>
    <row r="11" spans="1:21" s="3" customFormat="1" ht="22" x14ac:dyDescent="0.3">
      <c r="A11" s="25" t="s">
        <v>51</v>
      </c>
      <c r="B11" s="25" t="s">
        <v>12</v>
      </c>
      <c r="C11" s="51"/>
      <c r="D11" s="51"/>
      <c r="E11" s="51">
        <v>3550</v>
      </c>
      <c r="F11" s="51"/>
      <c r="G11" s="51"/>
      <c r="H11" s="51"/>
      <c r="I11" s="51"/>
      <c r="J11" s="51"/>
      <c r="K11" s="52">
        <v>230</v>
      </c>
      <c r="L11" s="52">
        <v>230</v>
      </c>
      <c r="M11" s="52">
        <v>230</v>
      </c>
      <c r="N11" s="52">
        <v>230</v>
      </c>
      <c r="O11" s="52">
        <v>230</v>
      </c>
      <c r="P11" s="52">
        <v>230</v>
      </c>
      <c r="Q11" s="52">
        <v>230</v>
      </c>
      <c r="R11" s="52">
        <v>230</v>
      </c>
      <c r="S11" s="52">
        <v>230</v>
      </c>
      <c r="T11" s="52">
        <v>230</v>
      </c>
      <c r="U11" s="52">
        <v>230</v>
      </c>
    </row>
    <row r="12" spans="1:21" s="3" customFormat="1" ht="22" x14ac:dyDescent="0.3">
      <c r="A12" s="25" t="s">
        <v>51</v>
      </c>
      <c r="B12" s="25" t="s">
        <v>11</v>
      </c>
      <c r="C12" s="51"/>
      <c r="D12" s="51"/>
      <c r="E12" s="51"/>
      <c r="F12" s="51"/>
      <c r="G12" s="51"/>
      <c r="H12" s="51"/>
      <c r="I12" s="51"/>
      <c r="J12" s="51"/>
      <c r="K12" s="52">
        <v>199</v>
      </c>
      <c r="L12" s="52">
        <v>199</v>
      </c>
      <c r="M12" s="52">
        <v>199</v>
      </c>
      <c r="N12" s="52">
        <v>199</v>
      </c>
      <c r="O12" s="52">
        <v>199</v>
      </c>
      <c r="P12" s="52">
        <v>199</v>
      </c>
      <c r="Q12" s="52">
        <v>199</v>
      </c>
      <c r="R12" s="52">
        <v>199</v>
      </c>
      <c r="S12" s="52">
        <v>199</v>
      </c>
      <c r="T12" s="52">
        <v>199</v>
      </c>
      <c r="U12" s="52">
        <v>199</v>
      </c>
    </row>
    <row r="13" spans="1:21" s="3" customFormat="1" ht="22" x14ac:dyDescent="0.3">
      <c r="A13" s="25" t="s">
        <v>51</v>
      </c>
      <c r="B13" s="36" t="s">
        <v>111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52">
        <v>115</v>
      </c>
      <c r="L13" s="52">
        <v>115</v>
      </c>
      <c r="M13" s="52">
        <v>115</v>
      </c>
      <c r="N13" s="52">
        <v>115</v>
      </c>
      <c r="O13" s="52">
        <v>115</v>
      </c>
      <c r="P13" s="52">
        <v>115</v>
      </c>
      <c r="Q13" s="52">
        <v>115</v>
      </c>
      <c r="R13" s="52">
        <v>115</v>
      </c>
      <c r="S13" s="52">
        <v>115</v>
      </c>
      <c r="T13" s="52">
        <v>115</v>
      </c>
      <c r="U13" s="52">
        <v>115</v>
      </c>
    </row>
    <row r="14" spans="1:21" s="3" customFormat="1" ht="22" x14ac:dyDescent="0.3">
      <c r="A14" s="25" t="s">
        <v>51</v>
      </c>
      <c r="B14" s="42" t="s">
        <v>113</v>
      </c>
      <c r="C14" s="51"/>
      <c r="D14" s="51"/>
      <c r="E14" s="51"/>
      <c r="F14" s="51"/>
      <c r="G14" s="51"/>
      <c r="H14" s="51"/>
      <c r="I14" s="51"/>
      <c r="J14" s="51"/>
      <c r="K14" s="52">
        <v>105</v>
      </c>
      <c r="L14" s="52">
        <v>105</v>
      </c>
      <c r="M14" s="52">
        <v>105</v>
      </c>
      <c r="N14" s="52">
        <v>105</v>
      </c>
      <c r="O14" s="52">
        <v>105</v>
      </c>
      <c r="P14" s="52">
        <v>105</v>
      </c>
      <c r="Q14" s="52">
        <v>105</v>
      </c>
      <c r="R14" s="52">
        <v>105</v>
      </c>
      <c r="S14" s="52">
        <v>105</v>
      </c>
      <c r="T14" s="52">
        <v>105</v>
      </c>
      <c r="U14" s="52">
        <v>105</v>
      </c>
    </row>
    <row r="15" spans="1:21" s="3" customFormat="1" ht="22" x14ac:dyDescent="0.3">
      <c r="A15" s="25" t="s">
        <v>51</v>
      </c>
      <c r="B15" s="42" t="s">
        <v>112</v>
      </c>
      <c r="C15" s="51"/>
      <c r="D15" s="51"/>
      <c r="E15" s="51"/>
      <c r="F15" s="51"/>
      <c r="G15" s="51"/>
      <c r="H15" s="51"/>
      <c r="I15" s="51"/>
      <c r="J15" s="51"/>
      <c r="K15" s="52">
        <v>175</v>
      </c>
      <c r="L15" s="52">
        <v>175</v>
      </c>
      <c r="M15" s="52">
        <v>175</v>
      </c>
      <c r="N15" s="52">
        <v>175</v>
      </c>
      <c r="O15" s="52">
        <v>175</v>
      </c>
      <c r="P15" s="52">
        <v>175</v>
      </c>
      <c r="Q15" s="52">
        <v>175</v>
      </c>
      <c r="R15" s="52">
        <v>175</v>
      </c>
      <c r="S15" s="52">
        <v>175</v>
      </c>
      <c r="T15" s="52">
        <v>175</v>
      </c>
      <c r="U15" s="52">
        <v>175</v>
      </c>
    </row>
    <row r="16" spans="1:21" ht="22" x14ac:dyDescent="0.3">
      <c r="A16" s="32" t="s">
        <v>77</v>
      </c>
      <c r="B16" s="32" t="s">
        <v>10</v>
      </c>
      <c r="C16" s="35">
        <f>SUMIF(jcc[[Movement]:[Movement]],"Credit", jcc[2024-05-01])-SUMIF(jcc[[Movement]:[Movement]],"Debit",jcc[2024-05-01])</f>
        <v>2000</v>
      </c>
      <c r="D16" s="35">
        <f>SUMIF(jcc[[Movement]:[Movement]],"Credit", jcc[2024-06-01])-SUMIF(jcc[[Movement]:[Movement]],"Debit",jcc[2024-06-01])</f>
        <v>0</v>
      </c>
      <c r="E16" s="35">
        <f>SUMIF(jcc[[Movement]:[Movement]],"Credit", jcc[2024-07-01])-SUMIF(jcc[[Movement]:[Movement]],"Debit",jcc[2024-07-01])</f>
        <v>-3050</v>
      </c>
      <c r="F16" s="35">
        <f>SUMIF(jcc[[Movement]:[Movement]],"Credit", jcc[2024-08-01])-SUMIF(jcc[[Movement]:[Movement]],"Debit",jcc[2024-08-01])</f>
        <v>500</v>
      </c>
      <c r="G16" s="35">
        <f>SUMIF(jcc[[Movement]:[Movement]],"Credit", jcc[2024-09-01])-SUMIF(jcc[[Movement]:[Movement]],"Debit",jcc[2024-09-01])</f>
        <v>500</v>
      </c>
      <c r="H16" s="35">
        <f>SUMIF(jcc[[Movement]:[Movement]],"Credit", jcc[2024-10-01])-SUMIF(jcc[[Movement]:[Movement]],"Debit",jcc[2024-10-01])</f>
        <v>500</v>
      </c>
      <c r="I16" s="35">
        <f>SUMIF(jcc[[Movement]:[Movement]],"Credit", jcc[2024-11-01])-SUMIF(jcc[[Movement]:[Movement]],"Debit",jcc[2024-11-01])</f>
        <v>500</v>
      </c>
      <c r="J16" s="35">
        <f>SUMIF(jcc[[Movement]:[Movement]],"Credit", jcc[2024-12-01])-SUMIF(jcc[[Movement]:[Movement]],"Debit",jcc[2024-12-01])</f>
        <v>500</v>
      </c>
      <c r="K16" s="12">
        <f>SUMIF(jcc[Movement], "Credit", jcc[2025-02-01]) - SUMIF(jcc[Movement], "Debit", jcc[2025-02-01])</f>
        <v>-8980</v>
      </c>
      <c r="L16" s="12">
        <f>SUMIF(jcc[Movement], "Credit", jcc[2025-03-01]) - SUMIF(jcc[Movement], "Debit", jcc[2025-03-01])</f>
        <v>-8062.2725</v>
      </c>
      <c r="M16" s="12">
        <f>SUMIF(jcc[Movement], "Credit", jcc[2025-04-01]) - SUMIF(jcc[Movement], "Debit", jcc[2025-04-01])</f>
        <v>-7128.3700528125</v>
      </c>
      <c r="N16" s="12">
        <f>SUMIF(jcc[Movement], "Credit", jcc[2025-05-01]) - SUMIF(jcc[Movement], "Debit", jcc[2025-05-01])</f>
        <v>-6178.0075749933203</v>
      </c>
      <c r="O16" s="12">
        <f>SUMIF(jcc[Movement], "Credit", jcc[2025-06-01]) - SUMIF(jcc[Movement], "Debit", jcc[2025-06-01])</f>
        <v>-5210.8949585025775</v>
      </c>
      <c r="P16" s="12">
        <f>SUMIF(jcc[Movement], "Credit", jcc[2025-07-01]) - SUMIF(jcc[Movement], "Debit", jcc[2025-07-01])</f>
        <v>-4226.7369821461853</v>
      </c>
      <c r="Q16" s="12">
        <f>SUMIF(jcc[Movement], "Credit", jcc[2025-08-01]) - SUMIF(jcc[Movement], "Debit", jcc[2025-08-01])</f>
        <v>-3225.2332214565117</v>
      </c>
      <c r="R16" s="12">
        <f>SUMIF(jcc[Movement], "Credit", jcc[2025-09-01]) - SUMIF(jcc[Movement], "Debit", jcc[2025-09-01])</f>
        <v>-2206.0779569846827</v>
      </c>
      <c r="S16" s="12">
        <f>SUMIF(jcc[Movement], "Credit", jcc[2025-10-01]) - SUMIF(jcc[Movement], "Debit", jcc[2025-10-01])</f>
        <v>-1168.9600809765377</v>
      </c>
      <c r="T16" s="12">
        <f>SUMIF(jcc[Movement], "Credit", jcc[2025-11-01]) - SUMIF(jcc[Movement], "Debit", jcc[2025-11-01])</f>
        <v>-113.56300240374912</v>
      </c>
      <c r="U16" s="12">
        <f>SUMIF(jcc[Movement], "Credit", jcc[2025-12-01]) - SUMIF(jcc[Movement], "Debit", jcc[2025-12-01])</f>
        <v>960.43544967888477</v>
      </c>
    </row>
    <row r="17" spans="1:21" ht="22" x14ac:dyDescent="0.3">
      <c r="A17" s="32" t="s">
        <v>119</v>
      </c>
      <c r="B17" s="32" t="s">
        <v>10</v>
      </c>
      <c r="C17" s="12"/>
      <c r="D17" s="12"/>
      <c r="E17" s="12"/>
      <c r="F17" s="12"/>
      <c r="G17" s="12"/>
      <c r="H17" s="12"/>
      <c r="I17" s="12"/>
      <c r="J17" s="12"/>
      <c r="K17" s="84">
        <f>SUMIF(jcc[Movement], "Debit", jcc[2025-02-01])</f>
        <v>824</v>
      </c>
      <c r="L17" s="84">
        <f>SUMIF(jcc[Movement], "Debit", jcc[2025-03-01])</f>
        <v>982.27250000000004</v>
      </c>
      <c r="M17" s="84">
        <f>SUMIF(jcc[Movement], "Debit", jcc[2025-04-01])</f>
        <v>966.0975528125</v>
      </c>
      <c r="N17" s="84">
        <f>SUMIF(jcc[Movement], "Debit", jcc[2025-05-01])</f>
        <v>949.63752218082027</v>
      </c>
      <c r="O17" s="84">
        <f>SUMIF(jcc[Movement], "Debit", jcc[2025-06-01])</f>
        <v>932.88738350925723</v>
      </c>
      <c r="P17" s="84">
        <f>SUMIF(jcc[Movement], "Debit", jcc[2025-07-01])</f>
        <v>915.84202364360794</v>
      </c>
      <c r="Q17" s="84">
        <f>SUMIF(jcc[Movement], "Debit", jcc[2025-08-01])</f>
        <v>898.49623931032647</v>
      </c>
      <c r="R17" s="84">
        <f>SUMIF(jcc[Movement], "Debit", jcc[2025-09-01])</f>
        <v>880.84473552817099</v>
      </c>
      <c r="S17" s="84">
        <f>SUMIF(jcc[Movement], "Debit", jcc[2025-10-01])</f>
        <v>862.882123991855</v>
      </c>
      <c r="T17" s="84">
        <f>SUMIF(jcc[Movement], "Debit", jcc[2025-11-01])</f>
        <v>844.60292142721141</v>
      </c>
      <c r="U17" s="84">
        <f>SUMIF(jcc[Movement], "Debit", jcc[2025-12-01])</f>
        <v>826.00154791736611</v>
      </c>
    </row>
  </sheetData>
  <conditionalFormatting sqref="A16:XFD16">
    <cfRule type="cellIs" dxfId="23" priority="1" operator="greaterThan">
      <formula>0</formula>
    </cfRule>
    <cfRule type="cellIs" dxfId="22" priority="2" operator="less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K11:K13 K16:U16 K9:U9 K15 K8" calculatedColumn="1"/>
  </ignoredErrors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839C-4430-DC49-9027-EDA3E49A4F64}">
  <dimension ref="A1:AH4"/>
  <sheetViews>
    <sheetView showGridLines="0" workbookViewId="0">
      <selection activeCell="A2" sqref="A2:XFD2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customWidth="1"/>
    <col min="5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s="2" customFormat="1" ht="22" x14ac:dyDescent="0.3">
      <c r="A2" s="15" t="s">
        <v>50</v>
      </c>
      <c r="B2" s="15" t="s">
        <v>0</v>
      </c>
      <c r="C2" s="7"/>
      <c r="D2" s="7"/>
      <c r="E2" s="7">
        <v>8140</v>
      </c>
      <c r="F2" s="7">
        <v>8140</v>
      </c>
      <c r="G2" s="7">
        <v>8140</v>
      </c>
      <c r="H2" s="7">
        <v>8140</v>
      </c>
      <c r="I2" s="7">
        <v>8140</v>
      </c>
      <c r="J2" s="7">
        <v>8140</v>
      </c>
      <c r="K2" s="7">
        <v>8140</v>
      </c>
      <c r="L2" s="7">
        <v>8140</v>
      </c>
      <c r="M2" s="7">
        <v>8140</v>
      </c>
      <c r="N2" s="7">
        <v>8140</v>
      </c>
      <c r="O2" s="7">
        <v>8140</v>
      </c>
      <c r="P2" s="7">
        <v>8140</v>
      </c>
      <c r="Q2" s="7">
        <v>8140</v>
      </c>
      <c r="R2" s="7">
        <v>8140</v>
      </c>
      <c r="S2" s="7">
        <v>8140</v>
      </c>
      <c r="T2" s="7">
        <v>8140</v>
      </c>
      <c r="U2" s="7">
        <v>8140</v>
      </c>
      <c r="V2" s="7">
        <v>8140</v>
      </c>
      <c r="W2" s="7">
        <v>8140</v>
      </c>
      <c r="X2" s="7">
        <v>8140</v>
      </c>
      <c r="Y2" s="7">
        <v>8140</v>
      </c>
      <c r="Z2" s="7">
        <v>8140</v>
      </c>
      <c r="AA2" s="7">
        <v>8140</v>
      </c>
      <c r="AB2" s="7">
        <v>8140</v>
      </c>
      <c r="AC2" s="7">
        <v>8140</v>
      </c>
      <c r="AD2" s="7">
        <v>8140</v>
      </c>
      <c r="AE2" s="7">
        <v>8140</v>
      </c>
      <c r="AF2" s="7">
        <v>8140</v>
      </c>
      <c r="AG2" s="7">
        <v>8140</v>
      </c>
      <c r="AH2" s="7">
        <v>8140</v>
      </c>
    </row>
    <row r="3" spans="1:34" s="3" customFormat="1" ht="22" x14ac:dyDescent="0.3">
      <c r="A3" s="50" t="s">
        <v>51</v>
      </c>
      <c r="B3" s="25" t="s">
        <v>82</v>
      </c>
      <c r="C3" s="51"/>
      <c r="D3" s="51"/>
      <c r="E3" s="51">
        <v>716601</v>
      </c>
      <c r="F3" s="51"/>
      <c r="G3" s="51"/>
      <c r="H3" s="51"/>
      <c r="I3" s="51"/>
      <c r="J3" s="51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</row>
    <row r="4" spans="1:34" ht="22" x14ac:dyDescent="0.3">
      <c r="A4" s="24" t="s">
        <v>77</v>
      </c>
      <c r="B4" s="32" t="s">
        <v>1</v>
      </c>
      <c r="C4" s="12">
        <f>SUMIF(Table3289[[Movement]:[Movement]],"Credit", Table3289[2024-05-01])-SUMIF(Table3289[[Movement]:[Movement]],"Debit", Table3289[2024-05-01])</f>
        <v>0</v>
      </c>
      <c r="D4" s="12">
        <f>SUMIF(Table3289[[Movement]:[Movement]],"Credit", Table3289[2024-06-01])-SUMIF(Table3289[[Movement]:[Movement]],"Debit", Table3289[2024-06-01])</f>
        <v>0</v>
      </c>
      <c r="E4" s="12">
        <f>SUMIF(Table3289[[Movement]:[Movement]],"Credit", Table3289[2024-07-01])-SUMIF(Table3289[[Movement]:[Movement]],"Debit", Table3289[2024-07-01])</f>
        <v>-708461</v>
      </c>
      <c r="F4" s="12">
        <f>SUMIF(Table3289[[Movement]:[Movement]],"Credit", Table3289[2024-08-01])-SUMIF(Table3289[[Movement]:[Movement]],"Debit", Table3289[2024-08-01])</f>
        <v>8140</v>
      </c>
      <c r="G4" s="12">
        <f>SUMIF(Table3289[[Movement]:[Movement]],"Credit", Table3289[2024-09-01])-SUMIF(Table3289[[Movement]:[Movement]],"Debit", Table3289[2024-09-01])</f>
        <v>8140</v>
      </c>
      <c r="H4" s="12">
        <f>SUMIF(Table3289[[Movement]:[Movement]],"Credit", Table3289[2024-10-01])-SUMIF(Table3289[[Movement]:[Movement]],"Debit", Table3289[2024-10-01])</f>
        <v>8140</v>
      </c>
      <c r="I4" s="12">
        <f>SUMIF(Table3289[[Movement]:[Movement]],"Credit", Table3289[2024-11-01])-SUMIF(Table3289[[Movement]:[Movement]],"Debit", Table3289[2024-11-01])</f>
        <v>8140</v>
      </c>
      <c r="J4" s="12">
        <f>SUMIF(Table3289[[Movement]:[Movement]],"Credit", Table3289[2024-12-01])-SUMIF(Table3289[[Movement]:[Movement]],"Debit", Table3289[2024-12-01])</f>
        <v>8140</v>
      </c>
      <c r="K4" s="12">
        <f>SUMIF(Table3289[[Movement]:[Movement]],"Credit", Table3289[2025-01-01])-SUMIF(Table3289[[Movement]:[Movement]],"Debit", Table3289[2025-01-01])</f>
        <v>8140</v>
      </c>
      <c r="L4" s="12">
        <f>SUMIF(Table3289[[Movement]:[Movement]],"Credit", Table3289[2025-02-01])-SUMIF(Table3289[[Movement]:[Movement]],"Debit", Table3289[2025-02-01])</f>
        <v>8140</v>
      </c>
      <c r="M4" s="12">
        <f>SUMIF(Table3289[[Movement]:[Movement]],"Credit", Table3289[2025-03-01])-SUMIF(Table3289[[Movement]:[Movement]],"Debit", Table3289[2025-03-01])</f>
        <v>8140</v>
      </c>
      <c r="N4" s="12">
        <f>SUMIF(Table3289[[Movement]:[Movement]],"Credit", Table3289[2025-04-01])-SUMIF(Table3289[[Movement]:[Movement]],"Debit", Table3289[2025-04-01])</f>
        <v>8140</v>
      </c>
      <c r="O4" s="12">
        <f>SUMIF(Table3289[[Movement]:[Movement]],"Credit", Table3289[2025-05-01])-SUMIF(Table3289[[Movement]:[Movement]],"Debit", Table3289[2025-05-01])</f>
        <v>8140</v>
      </c>
      <c r="P4" s="12">
        <f>SUMIF(Table3289[[Movement]:[Movement]],"Credit", Table3289[2025-06-01])-SUMIF(Table3289[[Movement]:[Movement]],"Debit", Table3289[2025-06-01])</f>
        <v>8140</v>
      </c>
      <c r="Q4" s="12">
        <f>SUMIF(Table3289[[Movement]:[Movement]],"Credit", Table3289[2025-07-01])-SUMIF(Table3289[[Movement]:[Movement]],"Debit", Table3289[2025-07-01])</f>
        <v>8140</v>
      </c>
      <c r="R4" s="12">
        <f>SUMIF(Table3289[[Movement]:[Movement]],"Credit", Table3289[2025-08-01])-SUMIF(Table3289[[Movement]:[Movement]],"Debit", Table3289[2025-08-01])</f>
        <v>8140</v>
      </c>
      <c r="S4" s="12">
        <f>SUMIF(Table3289[[Movement]:[Movement]],"Credit", Table3289[2025-09-01])-SUMIF(Table3289[[Movement]:[Movement]],"Debit", Table3289[2025-09-01])</f>
        <v>8140</v>
      </c>
      <c r="T4" s="12">
        <f>SUMIF(Table3289[[Movement]:[Movement]],"Credit", Table3289[2025-10-01])-SUMIF(Table3289[[Movement]:[Movement]],"Debit", Table3289[2025-10-01])</f>
        <v>8140</v>
      </c>
      <c r="U4" s="12">
        <f>SUMIF(Table3289[[Movement]:[Movement]],"Credit", Table3289[2025-11-01])-SUMIF(Table3289[[Movement]:[Movement]],"Debit", Table3289[2025-11-01])</f>
        <v>8140</v>
      </c>
      <c r="V4" s="12">
        <f>SUMIF(Table3289[[Movement]:[Movement]],"Credit", Table3289[2025-12-01])-SUMIF(Table3289[[Movement]:[Movement]],"Debit", Table3289[2025-12-01])</f>
        <v>8140</v>
      </c>
      <c r="W4" s="12">
        <f>SUMIF(Table3289[[Movement]:[Movement]],"Credit", Table3289[2026-01-01])-SUMIF(Table3289[[Movement]:[Movement]],"Debit", Table3289[2026-01-01])</f>
        <v>8140</v>
      </c>
      <c r="X4" s="12">
        <f>SUMIF(Table3289[[Movement]:[Movement]],"Credit", Table3289[2026-02-01])-SUMIF(Table3289[[Movement]:[Movement]],"Debit", Table3289[2026-02-01])</f>
        <v>8140</v>
      </c>
      <c r="Y4" s="12">
        <f>SUMIF(Table3289[[Movement]:[Movement]],"Credit", Table3289[2026-03-01])-SUMIF(Table3289[[Movement]:[Movement]],"Debit", Table3289[2026-03-01])</f>
        <v>8140</v>
      </c>
      <c r="Z4" s="12">
        <f>SUMIF(Table3289[[Movement]:[Movement]],"Credit", Table3289[2026-04-01])-SUMIF(Table3289[[Movement]:[Movement]],"Debit", Table3289[2026-04-01])</f>
        <v>8140</v>
      </c>
      <c r="AA4" s="12">
        <f>SUMIF(Table3289[[Movement]:[Movement]],"Credit", Table3289[2026-05-01])-SUMIF(Table3289[[Movement]:[Movement]],"Debit", Table3289[2026-05-01])</f>
        <v>8140</v>
      </c>
      <c r="AB4" s="12">
        <f>SUMIF(Table3289[[Movement]:[Movement]],"Credit", Table3289[2026-06-01])-SUMIF(Table3289[[Movement]:[Movement]],"Debit", Table3289[2026-06-01])</f>
        <v>8140</v>
      </c>
      <c r="AC4" s="12">
        <f>SUMIF(Table3289[[Movement]:[Movement]],"Credit", Table3289[2026-07-01])-SUMIF(Table3289[[Movement]:[Movement]],"Debit", Table3289[2026-07-01])</f>
        <v>8140</v>
      </c>
      <c r="AD4" s="12">
        <f>SUMIF(Table3289[[Movement]:[Movement]],"Credit", Table3289[2026-08-01])-SUMIF(Table3289[[Movement]:[Movement]],"Debit", Table3289[2026-08-01])</f>
        <v>8140</v>
      </c>
      <c r="AE4" s="12">
        <f>SUMIF(Table3289[[Movement]:[Movement]],"Credit", Table3289[2026-09-01])-SUMIF(Table3289[[Movement]:[Movement]],"Debit", Table3289[2026-09-01])</f>
        <v>8140</v>
      </c>
      <c r="AF4" s="12">
        <f>SUMIF(Table3289[[Movement]:[Movement]],"Credit", Table3289[2026-10-01])-SUMIF(Table3289[[Movement]:[Movement]],"Debit", Table3289[2026-10-01])</f>
        <v>8140</v>
      </c>
      <c r="AG4" s="12">
        <f>SUMIF(Table3289[[Movement]:[Movement]],"Credit", Table3289[2026-11-01])-SUMIF(Table3289[[Movement]:[Movement]],"Debit", Table3289[2026-11-01])</f>
        <v>8140</v>
      </c>
      <c r="AH4" s="12">
        <f>SUMIF(Table3289[[Movement]:[Movement]],"Credit", Table3289[2026-12-01])-SUMIF(Table3289[[Movement]:[Movement]],"Debit", Table3289[2026-12-01])</f>
        <v>8140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F070-2FBF-4D4F-8695-FA36A20F8B06}">
  <dimension ref="A1:AH9"/>
  <sheetViews>
    <sheetView showGridLines="0" workbookViewId="0">
      <selection activeCell="H4" sqref="H4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hidden="1" customWidth="1"/>
    <col min="5" max="7" width="17" hidden="1" customWidth="1"/>
    <col min="8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ht="22" x14ac:dyDescent="0.3">
      <c r="A2" s="15" t="s">
        <v>50</v>
      </c>
      <c r="B2" s="15" t="s">
        <v>36</v>
      </c>
      <c r="C2" s="7">
        <v>1000</v>
      </c>
      <c r="D2" s="7">
        <v>1000</v>
      </c>
      <c r="E2" s="7">
        <v>750</v>
      </c>
      <c r="F2" s="7">
        <v>250</v>
      </c>
      <c r="G2" s="7">
        <v>750</v>
      </c>
      <c r="H2" s="7">
        <v>1000</v>
      </c>
      <c r="I2" s="7">
        <v>750</v>
      </c>
      <c r="J2" s="7">
        <v>750</v>
      </c>
      <c r="K2" s="7">
        <v>1000</v>
      </c>
      <c r="L2" s="7">
        <v>1000</v>
      </c>
      <c r="M2" s="7">
        <v>1000</v>
      </c>
      <c r="N2" s="7">
        <v>1000</v>
      </c>
      <c r="O2" s="7">
        <v>1000</v>
      </c>
      <c r="P2" s="7">
        <v>1000</v>
      </c>
      <c r="Q2" s="7">
        <v>1000</v>
      </c>
      <c r="R2" s="7">
        <v>1000</v>
      </c>
      <c r="S2" s="7">
        <v>1000</v>
      </c>
      <c r="T2" s="7">
        <v>1000</v>
      </c>
      <c r="U2" s="7">
        <v>1000</v>
      </c>
      <c r="V2" s="7">
        <v>1000</v>
      </c>
      <c r="W2" s="7">
        <v>1000</v>
      </c>
      <c r="X2" s="7">
        <v>1000</v>
      </c>
      <c r="Y2" s="7">
        <v>1000</v>
      </c>
      <c r="Z2" s="7">
        <v>1000</v>
      </c>
      <c r="AA2" s="7">
        <v>1000</v>
      </c>
      <c r="AB2" s="7">
        <v>1000</v>
      </c>
      <c r="AC2" s="7">
        <v>1000</v>
      </c>
      <c r="AD2" s="7">
        <v>1000</v>
      </c>
      <c r="AE2" s="7">
        <v>1000</v>
      </c>
      <c r="AF2" s="7">
        <v>1000</v>
      </c>
      <c r="AG2" s="7"/>
      <c r="AH2" s="7"/>
    </row>
    <row r="3" spans="1:34" s="2" customFormat="1" ht="22" x14ac:dyDescent="0.3">
      <c r="A3" s="56" t="s">
        <v>50</v>
      </c>
      <c r="B3" s="15" t="s">
        <v>90</v>
      </c>
      <c r="C3" s="7"/>
      <c r="D3" s="7"/>
      <c r="E3" s="7"/>
      <c r="F3" s="7"/>
      <c r="G3" s="7"/>
      <c r="H3" s="7">
        <v>3495</v>
      </c>
      <c r="I3" s="7"/>
      <c r="J3" s="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</row>
    <row r="4" spans="1:34" s="2" customFormat="1" ht="22" x14ac:dyDescent="0.3">
      <c r="A4" s="15" t="s">
        <v>50</v>
      </c>
      <c r="B4" s="15" t="s">
        <v>0</v>
      </c>
      <c r="C4" s="7">
        <v>1000</v>
      </c>
      <c r="D4" s="7">
        <v>1000</v>
      </c>
      <c r="E4" s="7"/>
      <c r="F4" s="7"/>
      <c r="G4" s="7">
        <v>500</v>
      </c>
      <c r="H4" s="7">
        <v>1000</v>
      </c>
      <c r="I4" s="7">
        <v>1000</v>
      </c>
      <c r="J4" s="7">
        <v>1000</v>
      </c>
      <c r="K4" s="7">
        <v>5000</v>
      </c>
      <c r="L4" s="7">
        <v>5000</v>
      </c>
      <c r="M4" s="7">
        <v>5000</v>
      </c>
      <c r="N4" s="7">
        <v>5000</v>
      </c>
      <c r="O4" s="7">
        <v>5000</v>
      </c>
      <c r="P4" s="7">
        <v>5000</v>
      </c>
      <c r="Q4" s="7">
        <v>6000</v>
      </c>
      <c r="R4" s="7">
        <v>6000</v>
      </c>
      <c r="S4" s="7">
        <v>6000</v>
      </c>
      <c r="T4" s="7">
        <v>6000</v>
      </c>
      <c r="U4" s="7">
        <v>6000</v>
      </c>
      <c r="V4" s="7">
        <v>6000</v>
      </c>
      <c r="W4" s="7">
        <v>6000</v>
      </c>
      <c r="X4" s="7">
        <v>6000</v>
      </c>
      <c r="Y4" s="7">
        <v>6000</v>
      </c>
      <c r="Z4" s="7">
        <v>6000</v>
      </c>
      <c r="AA4" s="7">
        <v>6000</v>
      </c>
      <c r="AB4" s="7">
        <v>6000</v>
      </c>
      <c r="AC4" s="7">
        <v>6000</v>
      </c>
      <c r="AD4" s="7">
        <v>6000</v>
      </c>
      <c r="AE4" s="7">
        <v>6000</v>
      </c>
      <c r="AF4" s="7">
        <v>6000</v>
      </c>
      <c r="AG4" s="7"/>
      <c r="AH4" s="7"/>
    </row>
    <row r="5" spans="1:34" s="3" customFormat="1" ht="22" x14ac:dyDescent="0.3">
      <c r="A5" s="50" t="s">
        <v>51</v>
      </c>
      <c r="B5" s="25" t="s">
        <v>34</v>
      </c>
      <c r="C5" s="51">
        <v>10800</v>
      </c>
      <c r="D5" s="51">
        <v>5400</v>
      </c>
      <c r="E5" s="51">
        <v>5400</v>
      </c>
      <c r="F5" s="51">
        <v>5400</v>
      </c>
      <c r="G5" s="51">
        <v>5400</v>
      </c>
      <c r="H5" s="51">
        <v>5400</v>
      </c>
      <c r="I5" s="51"/>
      <c r="J5" s="51"/>
      <c r="K5" s="52">
        <v>5500</v>
      </c>
      <c r="L5" s="52">
        <v>5500</v>
      </c>
      <c r="M5" s="52">
        <v>5500</v>
      </c>
      <c r="N5" s="52">
        <v>5500</v>
      </c>
      <c r="O5" s="52">
        <v>5500</v>
      </c>
      <c r="P5" s="52">
        <v>5500</v>
      </c>
      <c r="Q5" s="52">
        <v>5500</v>
      </c>
      <c r="R5" s="52">
        <v>5500</v>
      </c>
      <c r="S5" s="52">
        <v>5500</v>
      </c>
      <c r="T5" s="52">
        <v>5500</v>
      </c>
      <c r="U5" s="52"/>
      <c r="V5" s="52"/>
      <c r="W5" s="52">
        <v>5600</v>
      </c>
      <c r="X5" s="52">
        <v>5600</v>
      </c>
      <c r="Y5" s="52">
        <v>5600</v>
      </c>
      <c r="Z5" s="52">
        <v>5600</v>
      </c>
      <c r="AA5" s="52">
        <v>5600</v>
      </c>
      <c r="AB5" s="52">
        <v>5600</v>
      </c>
      <c r="AC5" s="52">
        <v>5600</v>
      </c>
      <c r="AD5" s="52">
        <v>5600</v>
      </c>
      <c r="AE5" s="52">
        <v>5600</v>
      </c>
      <c r="AF5" s="52">
        <v>5600</v>
      </c>
      <c r="AG5" s="52"/>
      <c r="AH5" s="52"/>
    </row>
    <row r="6" spans="1:34" s="3" customFormat="1" ht="22" x14ac:dyDescent="0.3">
      <c r="A6" s="50" t="s">
        <v>51</v>
      </c>
      <c r="B6" s="25" t="s">
        <v>26</v>
      </c>
      <c r="C6" s="51">
        <v>0</v>
      </c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</row>
    <row r="7" spans="1:34" s="3" customFormat="1" ht="22" x14ac:dyDescent="0.3">
      <c r="A7" s="50" t="s">
        <v>51</v>
      </c>
      <c r="B7" s="25" t="s">
        <v>33</v>
      </c>
      <c r="C7" s="51">
        <v>500</v>
      </c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</row>
    <row r="8" spans="1:34" s="3" customFormat="1" ht="22" x14ac:dyDescent="0.3">
      <c r="A8" s="50" t="s">
        <v>51</v>
      </c>
      <c r="B8" s="25" t="s">
        <v>35</v>
      </c>
      <c r="C8" s="51"/>
      <c r="D8" s="51"/>
      <c r="E8" s="51"/>
      <c r="F8" s="51"/>
      <c r="G8" s="51"/>
      <c r="H8" s="51"/>
      <c r="I8" s="51"/>
      <c r="J8" s="51"/>
      <c r="K8" s="52">
        <v>22000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>
        <v>23000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</row>
    <row r="9" spans="1:34" ht="22" x14ac:dyDescent="0.3">
      <c r="A9" s="24" t="s">
        <v>77</v>
      </c>
      <c r="B9" s="32" t="s">
        <v>25</v>
      </c>
      <c r="C9" s="12">
        <f>SUMIF(Table328[[Movement]:[Movement]],"Credit", Table328[2024-05-01])-SUMIF(Table328[[Movement]:[Movement]],"Debit", Table328[2024-05-01])</f>
        <v>-9300</v>
      </c>
      <c r="D9" s="12">
        <f>SUMIF(Table328[[Movement]:[Movement]],"Credit", Table328[2024-06-01])-SUMIF(Table328[[Movement]:[Movement]],"Debit", Table328[2024-06-01])</f>
        <v>-3400</v>
      </c>
      <c r="E9" s="12">
        <f>SUMIF(Table328[[Movement]:[Movement]],"Credit", Table328[2024-07-01])-SUMIF(Table328[[Movement]:[Movement]],"Debit", Table328[2024-07-01])</f>
        <v>-4650</v>
      </c>
      <c r="F9" s="12">
        <f>SUMIF(Table328[[Movement]:[Movement]],"Credit", Table328[2024-08-01])-SUMIF(Table328[[Movement]:[Movement]],"Debit", Table328[2024-08-01])</f>
        <v>-5150</v>
      </c>
      <c r="G9" s="12">
        <f>SUMIF(Table328[[Movement]:[Movement]],"Credit", Table328[2024-09-01])-SUMIF(Table328[[Movement]:[Movement]],"Debit", Table328[2024-09-01])</f>
        <v>-4150</v>
      </c>
      <c r="H9" s="12">
        <f>SUMIF(Table328[[Movement]:[Movement]],"Credit", Table328[2024-10-01])-SUMIF(Table328[[Movement]:[Movement]],"Debit", Table328[2024-10-01])</f>
        <v>95</v>
      </c>
      <c r="I9" s="12">
        <f>SUMIF(Table328[[Movement]:[Movement]],"Credit", Table328[2024-11-01])-SUMIF(Table328[[Movement]:[Movement]],"Debit", Table328[2024-11-01])</f>
        <v>1750</v>
      </c>
      <c r="J9" s="12">
        <f>SUMIF(Table328[[Movement]:[Movement]],"Credit", Table328[2024-12-01])-SUMIF(Table328[[Movement]:[Movement]],"Debit", Table328[2024-12-01])</f>
        <v>1750</v>
      </c>
      <c r="K9" s="12">
        <f>SUMIF(Table328[[Movement]:[Movement]],"Credit", Table328[2025-01-01])-SUMIF(Table328[[Movement]:[Movement]],"Debit", Table328[2025-01-01])</f>
        <v>-21500</v>
      </c>
      <c r="L9" s="12">
        <f>SUMIF(Table328[[Movement]:[Movement]],"Credit", Table328[2025-02-01])-SUMIF(Table328[[Movement]:[Movement]],"Debit", Table328[2025-02-01])</f>
        <v>500</v>
      </c>
      <c r="M9" s="12">
        <f>SUMIF(Table328[[Movement]:[Movement]],"Credit", Table328[2025-03-01])-SUMIF(Table328[[Movement]:[Movement]],"Debit", Table328[2025-03-01])</f>
        <v>500</v>
      </c>
      <c r="N9" s="12">
        <f>SUMIF(Table328[[Movement]:[Movement]],"Credit", Table328[2025-04-01])-SUMIF(Table328[[Movement]:[Movement]],"Debit", Table328[2025-04-01])</f>
        <v>500</v>
      </c>
      <c r="O9" s="12">
        <f>SUMIF(Table328[[Movement]:[Movement]],"Credit", Table328[2025-05-01])-SUMIF(Table328[[Movement]:[Movement]],"Debit", Table328[2025-05-01])</f>
        <v>500</v>
      </c>
      <c r="P9" s="12">
        <f>SUMIF(Table328[[Movement]:[Movement]],"Credit", Table328[2025-06-01])-SUMIF(Table328[[Movement]:[Movement]],"Debit", Table328[2025-06-01])</f>
        <v>500</v>
      </c>
      <c r="Q9" s="12">
        <f>SUMIF(Table328[[Movement]:[Movement]],"Credit", Table328[2025-07-01])-SUMIF(Table328[[Movement]:[Movement]],"Debit", Table328[2025-07-01])</f>
        <v>1500</v>
      </c>
      <c r="R9" s="12">
        <f>SUMIF(Table328[[Movement]:[Movement]],"Credit", Table328[2025-08-01])-SUMIF(Table328[[Movement]:[Movement]],"Debit", Table328[2025-08-01])</f>
        <v>1500</v>
      </c>
      <c r="S9" s="12">
        <f>SUMIF(Table328[[Movement]:[Movement]],"Credit", Table328[2025-09-01])-SUMIF(Table328[[Movement]:[Movement]],"Debit", Table328[2025-09-01])</f>
        <v>1500</v>
      </c>
      <c r="T9" s="12">
        <f>SUMIF(Table328[[Movement]:[Movement]],"Credit", Table328[2025-10-01])-SUMIF(Table328[[Movement]:[Movement]],"Debit", Table328[2025-10-01])</f>
        <v>1500</v>
      </c>
      <c r="U9" s="12">
        <f>SUMIF(Table328[[Movement]:[Movement]],"Credit", Table328[2025-11-01])-SUMIF(Table328[[Movement]:[Movement]],"Debit", Table328[2025-11-01])</f>
        <v>7000</v>
      </c>
      <c r="V9" s="12">
        <f>SUMIF(Table328[[Movement]:[Movement]],"Credit", Table328[2025-12-01])-SUMIF(Table328[[Movement]:[Movement]],"Debit", Table328[2025-12-01])</f>
        <v>7000</v>
      </c>
      <c r="W9" s="12">
        <f>SUMIF(Table328[[Movement]:[Movement]],"Credit", Table328[2026-01-01])-SUMIF(Table328[[Movement]:[Movement]],"Debit", Table328[2026-01-01])</f>
        <v>-21600</v>
      </c>
      <c r="X9" s="12">
        <f>SUMIF(Table328[[Movement]:[Movement]],"Credit", Table328[2026-02-01])-SUMIF(Table328[[Movement]:[Movement]],"Debit", Table328[2026-02-01])</f>
        <v>1400</v>
      </c>
      <c r="Y9" s="12">
        <f>SUMIF(Table328[[Movement]:[Movement]],"Credit", Table328[2026-03-01])-SUMIF(Table328[[Movement]:[Movement]],"Debit", Table328[2026-03-01])</f>
        <v>1400</v>
      </c>
      <c r="Z9" s="12">
        <f>SUMIF(Table328[[Movement]:[Movement]],"Credit", Table328[2026-04-01])-SUMIF(Table328[[Movement]:[Movement]],"Debit", Table328[2026-04-01])</f>
        <v>1400</v>
      </c>
      <c r="AA9" s="12">
        <f>SUMIF(Table328[[Movement]:[Movement]],"Credit", Table328[2026-05-01])-SUMIF(Table328[[Movement]:[Movement]],"Debit", Table328[2026-05-01])</f>
        <v>1400</v>
      </c>
      <c r="AB9" s="12">
        <f>SUMIF(Table328[[Movement]:[Movement]],"Credit", Table328[2026-06-01])-SUMIF(Table328[[Movement]:[Movement]],"Debit", Table328[2026-06-01])</f>
        <v>1400</v>
      </c>
      <c r="AC9" s="12">
        <f>SUMIF(Table328[[Movement]:[Movement]],"Credit", Table328[2026-07-01])-SUMIF(Table328[[Movement]:[Movement]],"Debit", Table328[2026-07-01])</f>
        <v>1400</v>
      </c>
      <c r="AD9" s="12">
        <f>SUMIF(Table328[[Movement]:[Movement]],"Credit", Table328[2026-08-01])-SUMIF(Table328[[Movement]:[Movement]],"Debit", Table328[2026-08-01])</f>
        <v>1400</v>
      </c>
      <c r="AE9" s="12">
        <f>SUMIF(Table328[[Movement]:[Movement]],"Credit", Table328[2026-09-01])-SUMIF(Table328[[Movement]:[Movement]],"Debit", Table328[2026-09-01])</f>
        <v>1400</v>
      </c>
      <c r="AF9" s="12">
        <f>SUMIF(Table328[[Movement]:[Movement]],"Credit", Table328[2026-10-01])-SUMIF(Table328[[Movement]:[Movement]],"Debit", Table328[2026-10-01])</f>
        <v>1400</v>
      </c>
      <c r="AG9" s="12">
        <f>SUMIF(Table328[[Movement]:[Movement]],"Credit", Table328[2026-11-01])-SUMIF(Table328[[Movement]:[Movement]],"Debit", Table328[2026-11-01])</f>
        <v>0</v>
      </c>
      <c r="AH9" s="12">
        <f>SUMIF(Table328[[Movement]:[Movement]],"Credit", Table328[2026-12-01])-SUMIF(Table328[[Movement]:[Movement]],"Debit", Table328[2026-12-01])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0CB-B31C-F442-8DCF-E64A8A781A93}">
  <dimension ref="A1:J4"/>
  <sheetViews>
    <sheetView workbookViewId="0">
      <selection activeCell="C1" sqref="C1:D1048576"/>
    </sheetView>
  </sheetViews>
  <sheetFormatPr baseColWidth="10" defaultRowHeight="16" x14ac:dyDescent="0.2"/>
  <cols>
    <col min="1" max="1" width="12.1640625" customWidth="1"/>
    <col min="2" max="2" width="34.83203125" customWidth="1"/>
    <col min="3" max="4" width="18.5" hidden="1" customWidth="1"/>
    <col min="5" max="10" width="18.5" customWidth="1"/>
  </cols>
  <sheetData>
    <row r="1" spans="1:10" ht="17" thickBot="1" x14ac:dyDescent="0.25">
      <c r="A1" s="33" t="s">
        <v>23</v>
      </c>
      <c r="B1" s="34" t="s">
        <v>49</v>
      </c>
      <c r="C1" s="27" t="s">
        <v>38</v>
      </c>
      <c r="D1" s="27" t="s">
        <v>39</v>
      </c>
      <c r="E1" s="27" t="s">
        <v>41</v>
      </c>
      <c r="F1" s="27" t="s">
        <v>40</v>
      </c>
      <c r="G1" s="27" t="s">
        <v>42</v>
      </c>
      <c r="H1" s="27" t="s">
        <v>43</v>
      </c>
      <c r="I1" s="27" t="s">
        <v>44</v>
      </c>
      <c r="J1" s="27" t="s">
        <v>45</v>
      </c>
    </row>
    <row r="2" spans="1:10" ht="22" x14ac:dyDescent="0.3">
      <c r="A2" s="28" t="s">
        <v>50</v>
      </c>
      <c r="B2" s="28" t="s">
        <v>0</v>
      </c>
      <c r="C2" s="29">
        <v>200</v>
      </c>
      <c r="D2" s="29">
        <v>200</v>
      </c>
      <c r="E2" s="29">
        <v>200</v>
      </c>
      <c r="F2" s="29">
        <v>200</v>
      </c>
      <c r="G2" s="29">
        <v>200</v>
      </c>
      <c r="H2" s="29">
        <v>200</v>
      </c>
      <c r="I2" s="29">
        <v>200</v>
      </c>
      <c r="J2" s="29">
        <v>200</v>
      </c>
    </row>
    <row r="3" spans="1:10" ht="22" x14ac:dyDescent="0.3">
      <c r="A3" s="30" t="s">
        <v>51</v>
      </c>
      <c r="B3" s="30" t="s">
        <v>17</v>
      </c>
      <c r="C3" s="31">
        <v>0</v>
      </c>
      <c r="D3" s="31" t="s">
        <v>76</v>
      </c>
      <c r="E3" s="31" t="s">
        <v>76</v>
      </c>
      <c r="F3" s="31" t="s">
        <v>76</v>
      </c>
      <c r="G3" s="31" t="s">
        <v>76</v>
      </c>
      <c r="H3" s="31" t="s">
        <v>76</v>
      </c>
      <c r="I3" s="31" t="s">
        <v>76</v>
      </c>
      <c r="J3" s="31" t="s">
        <v>76</v>
      </c>
    </row>
    <row r="4" spans="1:10" s="48" customFormat="1" ht="22" x14ac:dyDescent="0.3">
      <c r="A4" s="47" t="s">
        <v>77</v>
      </c>
      <c r="B4" s="47" t="s">
        <v>46</v>
      </c>
      <c r="C4" s="49">
        <f>SUMIF(Table5[[Movement]:[Movement]],"Credit", Table5[2024-05-01])-SUMIF(Table5[[Movement]:[Movement]],"Debit", Table5[2024-05-01])</f>
        <v>200</v>
      </c>
      <c r="D4" s="49">
        <f>SUMIF(Table5[[Movement]:[Movement]],"Credit", Table5[2024-06-01])-SUMIF(Table5[[Movement]:[Movement]],"Debit", Table5[2024-06-01])</f>
        <v>200</v>
      </c>
      <c r="E4" s="49">
        <f>SUMIF(Table5[[Movement]:[Movement]],"Credit", Table5[2024-07-01])-SUMIF(Table5[[Movement]:[Movement]],"Debit", Table5[2024-07-01])</f>
        <v>200</v>
      </c>
      <c r="F4" s="49">
        <f>SUMIF(Table5[[Movement]:[Movement]],"Credit", Table5[2024-08-01])-SUMIF(Table5[[Movement]:[Movement]],"Debit", Table5[2024-08-01])</f>
        <v>200</v>
      </c>
      <c r="G4" s="49">
        <f>SUMIF(Table5[[Movement]:[Movement]],"Credit", Table5[2024-09-01])-SUMIF(Table5[[Movement]:[Movement]],"Debit", Table5[2024-09-01])</f>
        <v>200</v>
      </c>
      <c r="H4" s="49">
        <f>SUMIF(Table5[[Movement]:[Movement]],"Credit", Table5[2024-10-01])-SUMIF(Table5[[Movement]:[Movement]],"Debit", Table5[2024-10-01])</f>
        <v>200</v>
      </c>
      <c r="I4" s="49">
        <f>SUMIF(Table5[[Movement]:[Movement]],"Credit", Table5[2024-11-01])-SUMIF(Table5[[Movement]:[Movement]],"Debit", Table5[2024-11-01])</f>
        <v>200</v>
      </c>
      <c r="J4" s="49">
        <f>SUMIF(Table5[[Movement]:[Movement]],"Credit", Table5[2024-12-01])-SUMIF(Table5[[Movement]:[Movement]],"Debit", Table5[2024-12-01])</f>
        <v>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D6BF-4E21-7D49-A0F6-A907D4FEB74D}">
  <dimension ref="A1:J9"/>
  <sheetViews>
    <sheetView showGridLines="0" workbookViewId="0">
      <selection activeCell="C1" sqref="C1:D1048576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bestFit="1" customWidth="1"/>
  </cols>
  <sheetData>
    <row r="1" spans="1:10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22" t="s">
        <v>50</v>
      </c>
      <c r="B2" s="15" t="s">
        <v>0</v>
      </c>
      <c r="C2" s="7"/>
      <c r="D2" s="7">
        <v>500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</row>
    <row r="3" spans="1:10" s="19" customFormat="1" ht="22" x14ac:dyDescent="0.3">
      <c r="A3" s="16" t="s">
        <v>51</v>
      </c>
      <c r="B3" s="17" t="s">
        <v>28</v>
      </c>
      <c r="C3" s="18"/>
      <c r="D3" s="18">
        <v>1000</v>
      </c>
      <c r="E3" s="18">
        <v>1000</v>
      </c>
      <c r="F3" s="18"/>
      <c r="G3" s="18"/>
      <c r="H3" s="18"/>
      <c r="I3" s="18"/>
      <c r="J3" s="18"/>
    </row>
    <row r="4" spans="1:10" s="19" customFormat="1" ht="22" x14ac:dyDescent="0.3">
      <c r="A4" s="16" t="s">
        <v>51</v>
      </c>
      <c r="B4" s="17" t="s">
        <v>29</v>
      </c>
      <c r="C4" s="18"/>
      <c r="D4" s="18"/>
      <c r="E4" s="18">
        <v>4000</v>
      </c>
      <c r="F4" s="18"/>
      <c r="G4" s="18"/>
      <c r="H4" s="18"/>
      <c r="I4" s="18"/>
      <c r="J4" s="18"/>
    </row>
    <row r="5" spans="1:10" s="19" customFormat="1" ht="22" x14ac:dyDescent="0.3">
      <c r="A5" s="16" t="s">
        <v>51</v>
      </c>
      <c r="B5" s="17" t="s">
        <v>31</v>
      </c>
      <c r="C5" s="18"/>
      <c r="D5" s="18"/>
      <c r="E5" s="18"/>
      <c r="F5" s="18"/>
      <c r="G5" s="18">
        <v>500</v>
      </c>
      <c r="H5" s="18"/>
      <c r="I5" s="18"/>
      <c r="J5" s="18"/>
    </row>
    <row r="6" spans="1:10" s="19" customFormat="1" ht="22" x14ac:dyDescent="0.3">
      <c r="A6" s="16" t="s">
        <v>51</v>
      </c>
      <c r="B6" s="17" t="s">
        <v>27</v>
      </c>
      <c r="C6" s="18"/>
      <c r="D6" s="18"/>
      <c r="E6" s="18"/>
      <c r="F6" s="18"/>
      <c r="G6" s="18"/>
      <c r="H6" s="18">
        <v>5000</v>
      </c>
      <c r="I6" s="18"/>
      <c r="J6" s="18"/>
    </row>
    <row r="7" spans="1:10" s="19" customFormat="1" ht="22" x14ac:dyDescent="0.3">
      <c r="A7" s="16" t="s">
        <v>51</v>
      </c>
      <c r="B7" s="17" t="s">
        <v>20</v>
      </c>
      <c r="C7" s="18"/>
      <c r="D7" s="18"/>
      <c r="E7" s="18">
        <v>3000</v>
      </c>
      <c r="F7" s="18"/>
      <c r="G7" s="18"/>
      <c r="H7" s="18"/>
      <c r="I7" s="18"/>
      <c r="J7" s="18"/>
    </row>
    <row r="8" spans="1:10" s="4" customFormat="1" ht="22" x14ac:dyDescent="0.3">
      <c r="A8" s="16" t="s">
        <v>51</v>
      </c>
      <c r="B8" s="16" t="s">
        <v>32</v>
      </c>
      <c r="C8" s="9"/>
      <c r="D8" s="9"/>
      <c r="E8" s="9"/>
      <c r="F8" s="9">
        <v>500</v>
      </c>
      <c r="G8" s="9"/>
      <c r="H8" s="9"/>
      <c r="I8" s="9"/>
      <c r="J8" s="9"/>
    </row>
    <row r="9" spans="1:10" ht="22" x14ac:dyDescent="0.3">
      <c r="A9" s="32" t="s">
        <v>77</v>
      </c>
      <c r="B9" s="32" t="s">
        <v>30</v>
      </c>
      <c r="C9" s="35">
        <f>SUMIF(Table32810[[Movement]:[Movement]],"Credit", Table32810[2024-05-01])-SUMIF(Table32810[[Movement]:[Movement]],"Debit", Table32810[2024-05-01])</f>
        <v>0</v>
      </c>
      <c r="D9" s="35">
        <f>SUMIF(Table32810[[Movement]:[Movement]],"Credit", Table32810[2024-06-01])-SUMIF(Table32810[[Movement]:[Movement]],"Debit", Table32810[2024-06-01])</f>
        <v>-500</v>
      </c>
      <c r="E9" s="35">
        <f>SUMIF(Table32810[[Movement]:[Movement]],"Credit", Table32810[2024-07-01])-SUMIF(Table32810[[Movement]:[Movement]],"Debit", Table32810[2024-07-01])</f>
        <v>-8000</v>
      </c>
      <c r="F9" s="35">
        <f>SUMIF(Table32810[[Movement]:[Movement]],"Credit", Table32810[2024-08-01])-SUMIF(Table32810[[Movement]:[Movement]],"Debit", Table32810[2024-08-01])</f>
        <v>-500</v>
      </c>
      <c r="G9" s="35">
        <f>SUMIF(Table32810[[Movement]:[Movement]],"Credit", Table32810[2024-09-01])-SUMIF(Table32810[[Movement]:[Movement]],"Debit", Table32810[2024-09-01])</f>
        <v>-500</v>
      </c>
      <c r="H9" s="35">
        <f>SUMIF(Table32810[[Movement]:[Movement]],"Credit", Table32810[2024-10-01])-SUMIF(Table32810[[Movement]:[Movement]],"Debit", Table32810[2024-10-01])</f>
        <v>-5000</v>
      </c>
      <c r="I9" s="35">
        <f>SUMIF(Table32810[[Movement]:[Movement]],"Credit", Table32810[2024-11-01])-SUMIF(Table32810[[Movement]:[Movement]],"Debit", Table32810[2024-11-01])</f>
        <v>0</v>
      </c>
      <c r="J9" s="35">
        <f>SUMIF(Table32810[[Movement]:[Movement]],"Credit", Table32810[2024-12-01])-SUMIF(Table32810[[Movement]:[Movement]],"Debit", Table32810[2024-12-01])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CD2B-2256-0F41-865B-B317649342C8}">
  <dimension ref="A1:K19"/>
  <sheetViews>
    <sheetView workbookViewId="0">
      <selection activeCell="H17" sqref="H17"/>
    </sheetView>
  </sheetViews>
  <sheetFormatPr baseColWidth="10" defaultRowHeight="16" x14ac:dyDescent="0.2"/>
  <cols>
    <col min="1" max="1" width="22" customWidth="1"/>
    <col min="2" max="2" width="22.5" customWidth="1"/>
  </cols>
  <sheetData>
    <row r="1" spans="1:11" x14ac:dyDescent="0.2">
      <c r="A1" t="s">
        <v>93</v>
      </c>
      <c r="B1" t="s">
        <v>94</v>
      </c>
      <c r="C1" t="s">
        <v>95</v>
      </c>
    </row>
    <row r="2" spans="1:11" x14ac:dyDescent="0.2">
      <c r="G2">
        <v>17112</v>
      </c>
      <c r="K2" t="s">
        <v>98</v>
      </c>
    </row>
    <row r="3" spans="1:11" x14ac:dyDescent="0.2">
      <c r="A3" s="58" t="s">
        <v>16</v>
      </c>
      <c r="B3" s="59">
        <v>8000</v>
      </c>
      <c r="C3" s="59">
        <v>8000</v>
      </c>
      <c r="K3">
        <v>7690</v>
      </c>
    </row>
    <row r="4" spans="1:11" x14ac:dyDescent="0.2">
      <c r="A4" s="58" t="s">
        <v>78</v>
      </c>
      <c r="B4" s="59">
        <v>1169</v>
      </c>
      <c r="C4" s="59">
        <v>1169</v>
      </c>
      <c r="G4">
        <v>1169</v>
      </c>
      <c r="J4" t="s">
        <v>99</v>
      </c>
      <c r="K4">
        <v>-400</v>
      </c>
    </row>
    <row r="5" spans="1:11" x14ac:dyDescent="0.2">
      <c r="A5" s="58" t="s">
        <v>46</v>
      </c>
      <c r="B5" s="59">
        <v>-200</v>
      </c>
      <c r="C5" s="59">
        <v>-200</v>
      </c>
      <c r="J5" t="s">
        <v>100</v>
      </c>
      <c r="K5">
        <v>-1000</v>
      </c>
    </row>
    <row r="6" spans="1:11" x14ac:dyDescent="0.2">
      <c r="A6" s="58" t="s">
        <v>7</v>
      </c>
      <c r="B6" s="59">
        <v>-610</v>
      </c>
      <c r="C6" s="59">
        <v>1220</v>
      </c>
      <c r="G6">
        <v>-1220</v>
      </c>
      <c r="J6" t="s">
        <v>101</v>
      </c>
      <c r="K6">
        <v>-3000</v>
      </c>
    </row>
    <row r="7" spans="1:11" x14ac:dyDescent="0.2">
      <c r="A7" s="58" t="s">
        <v>1</v>
      </c>
      <c r="B7" s="59">
        <v>-8140</v>
      </c>
      <c r="C7" s="59">
        <v>-8140</v>
      </c>
      <c r="G7">
        <v>-8020</v>
      </c>
      <c r="J7" t="s">
        <v>102</v>
      </c>
      <c r="K7">
        <v>1290</v>
      </c>
    </row>
    <row r="8" spans="1:11" x14ac:dyDescent="0.2">
      <c r="A8" s="58" t="s">
        <v>47</v>
      </c>
      <c r="B8" s="59">
        <v>-1000</v>
      </c>
      <c r="C8" s="59">
        <v>-1000</v>
      </c>
      <c r="G8">
        <v>-1000</v>
      </c>
      <c r="J8" t="s">
        <v>103</v>
      </c>
      <c r="K8">
        <v>1000</v>
      </c>
    </row>
    <row r="9" spans="1:11" x14ac:dyDescent="0.2">
      <c r="A9" s="58" t="s">
        <v>25</v>
      </c>
      <c r="B9" s="59">
        <v>-500</v>
      </c>
      <c r="C9" s="59"/>
      <c r="J9" t="s">
        <v>104</v>
      </c>
      <c r="K9">
        <v>1000</v>
      </c>
    </row>
    <row r="10" spans="1:11" x14ac:dyDescent="0.2">
      <c r="A10" s="58" t="s">
        <v>8</v>
      </c>
      <c r="B10" s="59">
        <v>-440</v>
      </c>
      <c r="C10" s="59">
        <v>-440</v>
      </c>
      <c r="G10">
        <v>-440</v>
      </c>
    </row>
    <row r="11" spans="1:11" x14ac:dyDescent="0.2">
      <c r="A11" s="58" t="s">
        <v>4</v>
      </c>
      <c r="B11" s="59">
        <v>-5600</v>
      </c>
      <c r="C11" s="59">
        <v>-5600</v>
      </c>
      <c r="G11">
        <v>-5600</v>
      </c>
    </row>
    <row r="12" spans="1:11" x14ac:dyDescent="0.2">
      <c r="A12" s="58" t="s">
        <v>13</v>
      </c>
      <c r="B12" s="59">
        <v>-3700</v>
      </c>
      <c r="C12" s="59">
        <v>-3700</v>
      </c>
      <c r="G12">
        <v>-3400</v>
      </c>
      <c r="H12" t="s">
        <v>105</v>
      </c>
    </row>
    <row r="13" spans="1:11" x14ac:dyDescent="0.2">
      <c r="A13" s="58" t="s">
        <v>21</v>
      </c>
      <c r="B13" s="59">
        <v>-170</v>
      </c>
      <c r="C13" s="59">
        <v>-170</v>
      </c>
      <c r="G13">
        <v>-170</v>
      </c>
    </row>
    <row r="14" spans="1:11" x14ac:dyDescent="0.2">
      <c r="A14" s="58" t="s">
        <v>30</v>
      </c>
      <c r="B14" s="59">
        <v>-3000</v>
      </c>
      <c r="C14" s="59"/>
    </row>
    <row r="15" spans="1:11" x14ac:dyDescent="0.2">
      <c r="A15" s="58" t="s">
        <v>5</v>
      </c>
      <c r="B15" s="59">
        <v>-117</v>
      </c>
      <c r="C15" s="59">
        <v>-117</v>
      </c>
      <c r="G15">
        <v>-117</v>
      </c>
    </row>
    <row r="16" spans="1:11" x14ac:dyDescent="0.2">
      <c r="A16" s="58" t="s">
        <v>6</v>
      </c>
      <c r="B16" s="59">
        <v>-988</v>
      </c>
      <c r="C16" s="59">
        <v>-988</v>
      </c>
      <c r="G16">
        <v>-988</v>
      </c>
    </row>
    <row r="17" spans="1:7" x14ac:dyDescent="0.2">
      <c r="A17" s="58" t="s">
        <v>81</v>
      </c>
      <c r="B17" s="59">
        <v>-500</v>
      </c>
      <c r="C17" s="59">
        <v>-500</v>
      </c>
    </row>
    <row r="18" spans="1:7" x14ac:dyDescent="0.2">
      <c r="A18" s="61" t="s">
        <v>97</v>
      </c>
      <c r="B18" s="62"/>
      <c r="C18" s="62">
        <v>610</v>
      </c>
      <c r="G18">
        <v>610</v>
      </c>
    </row>
    <row r="19" spans="1:7" x14ac:dyDescent="0.2">
      <c r="B19" s="60">
        <f>SUM(B3:B17)</f>
        <v>-15796</v>
      </c>
      <c r="C19" s="60">
        <f>SUM(C3:C18)</f>
        <v>-9856</v>
      </c>
      <c r="G19">
        <f>SUM(G2:G18)</f>
        <v>-2064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DF0D-72A7-F24E-9B15-0D8218302531}">
  <dimension ref="A1:J6"/>
  <sheetViews>
    <sheetView showGridLines="0" workbookViewId="0">
      <selection activeCell="N67" sqref="N67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3" width="16" style="1" hidden="1" customWidth="1"/>
    <col min="4" max="4" width="15.1640625" style="1" hidden="1" customWidth="1"/>
    <col min="5" max="7" width="15.1640625" hidden="1" customWidth="1"/>
    <col min="8" max="10" width="15.1640625" bestFit="1" customWidth="1"/>
  </cols>
  <sheetData>
    <row r="1" spans="1:10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15" t="s">
        <v>50</v>
      </c>
      <c r="B2" s="15" t="s">
        <v>0</v>
      </c>
      <c r="C2" s="23">
        <v>500</v>
      </c>
      <c r="D2" s="23">
        <v>1500</v>
      </c>
      <c r="E2" s="23">
        <v>250</v>
      </c>
      <c r="F2" s="23">
        <v>500</v>
      </c>
      <c r="G2" s="23">
        <v>500</v>
      </c>
      <c r="H2" s="23">
        <v>600</v>
      </c>
      <c r="I2" s="23">
        <v>500</v>
      </c>
      <c r="J2" s="23">
        <v>500</v>
      </c>
    </row>
    <row r="3" spans="1:10" s="4" customFormat="1" ht="22" x14ac:dyDescent="0.3">
      <c r="A3" s="16" t="s">
        <v>51</v>
      </c>
      <c r="B3" s="8" t="s">
        <v>11</v>
      </c>
      <c r="C3" s="9">
        <v>0</v>
      </c>
      <c r="D3" s="9">
        <v>200</v>
      </c>
      <c r="E3" s="9">
        <v>200</v>
      </c>
      <c r="F3" s="9">
        <v>200</v>
      </c>
      <c r="G3" s="9">
        <v>200</v>
      </c>
      <c r="H3" s="9">
        <v>200</v>
      </c>
      <c r="I3" s="9">
        <v>200</v>
      </c>
      <c r="J3" s="9">
        <v>200</v>
      </c>
    </row>
    <row r="4" spans="1:10" s="4" customFormat="1" ht="22" x14ac:dyDescent="0.3">
      <c r="A4" s="54" t="s">
        <v>51</v>
      </c>
      <c r="B4" s="16" t="s">
        <v>89</v>
      </c>
      <c r="C4" s="18"/>
      <c r="D4" s="18"/>
      <c r="E4" s="18"/>
      <c r="F4" s="18"/>
      <c r="G4" s="18">
        <v>110</v>
      </c>
      <c r="H4" s="18">
        <v>110</v>
      </c>
      <c r="I4" s="18">
        <v>110</v>
      </c>
      <c r="J4" s="18">
        <v>110</v>
      </c>
    </row>
    <row r="5" spans="1:10" s="4" customFormat="1" ht="22" x14ac:dyDescent="0.3">
      <c r="A5" s="16" t="s">
        <v>51</v>
      </c>
      <c r="B5" s="10" t="s">
        <v>12</v>
      </c>
      <c r="C5" s="11">
        <v>0</v>
      </c>
      <c r="D5" s="11">
        <v>230</v>
      </c>
      <c r="E5" s="11">
        <v>230</v>
      </c>
      <c r="F5" s="11">
        <v>230</v>
      </c>
      <c r="G5" s="11">
        <v>230</v>
      </c>
      <c r="H5" s="11">
        <v>230</v>
      </c>
      <c r="I5" s="11">
        <v>230</v>
      </c>
      <c r="J5" s="11">
        <v>230</v>
      </c>
    </row>
    <row r="6" spans="1:10" ht="22" x14ac:dyDescent="0.3">
      <c r="A6" s="13" t="s">
        <v>77</v>
      </c>
      <c r="B6" s="32" t="s">
        <v>10</v>
      </c>
      <c r="C6" s="12">
        <f>SUMIF(Table323[[Movement]:[Movement]],"Credit", Table323[2024-05-01])-SUMIF(Table323[[Movement]:[Movement]],"Debit", Table323[2024-05-01])</f>
        <v>500</v>
      </c>
      <c r="D6" s="12">
        <f>SUMIF(Table323[[Movement]:[Movement]],"Credit", Table323[2024-06-01])-SUMIF(Table323[[Movement]:[Movement]],"Debit", Table323[2024-06-01])</f>
        <v>1070</v>
      </c>
      <c r="E6" s="12">
        <f>SUMIF(Table323[[Movement]:[Movement]],"Credit", Table323[2024-07-01])-SUMIF(Table323[[Movement]:[Movement]],"Debit", Table323[2024-07-01])</f>
        <v>-180</v>
      </c>
      <c r="F6" s="12">
        <f>SUMIF(Table323[[Movement]:[Movement]],"Credit", Table323[2024-08-01])-SUMIF(Table323[[Movement]:[Movement]],"Debit", Table323[2024-08-01])</f>
        <v>70</v>
      </c>
      <c r="G6" s="12">
        <f>SUMIF(Table323[[Movement]:[Movement]],"Credit", Table323[2024-09-01])-SUMIF(Table323[[Movement]:[Movement]],"Debit", Table323[2024-09-01])</f>
        <v>-40</v>
      </c>
      <c r="H6" s="12">
        <f>SUMIF(Table323[[Movement]:[Movement]],"Credit", Table323[2024-10-01])-SUMIF(Table323[[Movement]:[Movement]],"Debit", Table323[2024-10-01])</f>
        <v>60</v>
      </c>
      <c r="I6" s="12">
        <f>SUMIF(Table323[[Movement]:[Movement]],"Credit", Table323[2024-11-01])-SUMIF(Table323[[Movement]:[Movement]],"Debit", Table323[2024-11-01])</f>
        <v>-40</v>
      </c>
      <c r="J6" s="12">
        <f>SUMIF(Table323[[Movement]:[Movement]],"Credit", Table323[2024-12-01])-SUMIF(Table323[[Movement]:[Movement]],"Debit", Table323[2024-12-01])</f>
        <v>-40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DF37-EEC1-1D4A-AB4A-07B4665E1B14}">
  <dimension ref="A1:U20"/>
  <sheetViews>
    <sheetView workbookViewId="0">
      <selection activeCell="B4" sqref="B4:K6"/>
    </sheetView>
  </sheetViews>
  <sheetFormatPr baseColWidth="10" defaultRowHeight="16" x14ac:dyDescent="0.2"/>
  <cols>
    <col min="2" max="2" width="29.83203125" bestFit="1" customWidth="1"/>
    <col min="3" max="10" width="16.5" hidden="1" customWidth="1"/>
    <col min="11" max="21" width="18.33203125" customWidth="1"/>
  </cols>
  <sheetData>
    <row r="1" spans="1:21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83" t="s">
        <v>53</v>
      </c>
      <c r="L1" s="83" t="s">
        <v>54</v>
      </c>
      <c r="M1" s="83" t="s">
        <v>55</v>
      </c>
      <c r="N1" s="83" t="s">
        <v>57</v>
      </c>
      <c r="O1" s="83" t="s">
        <v>56</v>
      </c>
      <c r="P1" s="83" t="s">
        <v>58</v>
      </c>
      <c r="Q1" s="83" t="s">
        <v>59</v>
      </c>
      <c r="R1" s="83" t="s">
        <v>60</v>
      </c>
      <c r="S1" s="83" t="s">
        <v>61</v>
      </c>
      <c r="T1" s="83" t="s">
        <v>62</v>
      </c>
      <c r="U1" s="83" t="s">
        <v>63</v>
      </c>
    </row>
    <row r="2" spans="1:21" s="2" customFormat="1" ht="22" x14ac:dyDescent="0.3">
      <c r="A2" s="22" t="s">
        <v>50</v>
      </c>
      <c r="B2" s="22" t="s">
        <v>16</v>
      </c>
      <c r="C2" s="21">
        <v>2000</v>
      </c>
      <c r="D2" s="21">
        <v>0</v>
      </c>
      <c r="E2" s="21">
        <v>500</v>
      </c>
      <c r="F2" s="21">
        <v>500</v>
      </c>
      <c r="G2" s="21">
        <v>500</v>
      </c>
      <c r="H2" s="21">
        <v>500</v>
      </c>
      <c r="I2" s="21">
        <v>500</v>
      </c>
      <c r="J2" s="21">
        <v>500</v>
      </c>
      <c r="K2" s="57">
        <v>900</v>
      </c>
      <c r="L2" s="57">
        <v>900</v>
      </c>
      <c r="M2" s="57">
        <v>900</v>
      </c>
      <c r="N2" s="57">
        <v>900</v>
      </c>
      <c r="O2" s="57">
        <v>900</v>
      </c>
      <c r="P2" s="57">
        <v>900</v>
      </c>
      <c r="Q2" s="57">
        <v>900</v>
      </c>
      <c r="R2" s="57">
        <v>800</v>
      </c>
      <c r="S2" s="57">
        <v>800</v>
      </c>
      <c r="T2" s="57">
        <v>800</v>
      </c>
      <c r="U2" s="57">
        <v>800</v>
      </c>
    </row>
    <row r="3" spans="1:21" s="2" customFormat="1" ht="22" x14ac:dyDescent="0.3">
      <c r="A3" s="15" t="s">
        <v>50</v>
      </c>
      <c r="B3" s="15" t="s">
        <v>90</v>
      </c>
      <c r="C3" s="7"/>
      <c r="D3" s="7"/>
      <c r="E3" s="7"/>
      <c r="F3" s="7"/>
      <c r="G3" s="7"/>
      <c r="H3" s="7"/>
      <c r="I3" s="7"/>
      <c r="J3" s="7"/>
      <c r="K3" s="57">
        <v>-30</v>
      </c>
      <c r="L3" s="57">
        <f>K7</f>
        <v>-4130</v>
      </c>
      <c r="M3" s="57">
        <f t="shared" ref="M3:U3" si="0">L7</f>
        <v>-3230</v>
      </c>
      <c r="N3" s="57">
        <f t="shared" si="0"/>
        <v>-2330</v>
      </c>
      <c r="O3" s="57">
        <f t="shared" si="0"/>
        <v>-1430</v>
      </c>
      <c r="P3" s="57">
        <f t="shared" si="0"/>
        <v>-530</v>
      </c>
      <c r="Q3" s="57">
        <f t="shared" si="0"/>
        <v>370</v>
      </c>
      <c r="R3" s="57">
        <f t="shared" si="0"/>
        <v>-2230</v>
      </c>
      <c r="S3" s="57">
        <f t="shared" si="0"/>
        <v>-1430</v>
      </c>
      <c r="T3" s="57">
        <f t="shared" si="0"/>
        <v>-630</v>
      </c>
      <c r="U3" s="57">
        <f t="shared" si="0"/>
        <v>170</v>
      </c>
    </row>
    <row r="4" spans="1:21" s="3" customFormat="1" ht="22" x14ac:dyDescent="0.3">
      <c r="A4" s="25" t="s">
        <v>51</v>
      </c>
      <c r="B4" s="25" t="s">
        <v>84</v>
      </c>
      <c r="C4" s="51"/>
      <c r="D4" s="51"/>
      <c r="E4" s="51">
        <v>3550</v>
      </c>
      <c r="F4" s="51"/>
      <c r="G4" s="51"/>
      <c r="H4" s="51"/>
      <c r="I4" s="51"/>
      <c r="J4" s="51"/>
      <c r="K4" s="52">
        <v>3500</v>
      </c>
      <c r="L4" s="52"/>
      <c r="M4" s="52"/>
      <c r="N4" s="52"/>
      <c r="O4" s="52"/>
      <c r="P4" s="52"/>
      <c r="Q4" s="52">
        <v>3500</v>
      </c>
      <c r="R4" s="52"/>
      <c r="S4" s="52"/>
      <c r="T4" s="52"/>
      <c r="U4" s="52"/>
    </row>
    <row r="5" spans="1:21" s="3" customFormat="1" ht="22" x14ac:dyDescent="0.3">
      <c r="A5" s="25" t="s">
        <v>51</v>
      </c>
      <c r="B5" s="25" t="s">
        <v>110</v>
      </c>
      <c r="C5" s="51"/>
      <c r="D5" s="51"/>
      <c r="E5" s="51"/>
      <c r="F5" s="51"/>
      <c r="G5" s="51"/>
      <c r="H5" s="51"/>
      <c r="I5" s="51"/>
      <c r="J5" s="51"/>
      <c r="K5" s="52">
        <v>1500</v>
      </c>
      <c r="L5" s="52"/>
      <c r="M5" s="52"/>
      <c r="N5" s="52"/>
      <c r="O5" s="52"/>
      <c r="P5" s="52"/>
      <c r="Q5" s="52"/>
      <c r="R5" s="52"/>
      <c r="S5" s="52"/>
      <c r="T5" s="52"/>
      <c r="U5" s="52"/>
    </row>
    <row r="6" spans="1:21" s="3" customFormat="1" ht="22" x14ac:dyDescent="0.3">
      <c r="A6" s="25" t="s">
        <v>51</v>
      </c>
      <c r="B6" s="36" t="s">
        <v>17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</row>
    <row r="7" spans="1:21" ht="22" x14ac:dyDescent="0.3">
      <c r="A7" s="32" t="s">
        <v>77</v>
      </c>
      <c r="B7" s="32" t="s">
        <v>9</v>
      </c>
      <c r="C7" s="35">
        <f>SUMIF(bcc[[Movement]:[Movement]],"Credit", bcc[2024-05-01])-SUMIF(bcc[[Movement]:[Movement]],"Debit",bcc[2024-05-01])</f>
        <v>2000</v>
      </c>
      <c r="D7" s="35">
        <f>SUMIF(bcc[[Movement]:[Movement]],"Credit", bcc[2024-06-01])-SUMIF(bcc[[Movement]:[Movement]],"Debit",bcc[2024-06-01])</f>
        <v>0</v>
      </c>
      <c r="E7" s="35">
        <f>SUMIF(bcc[[Movement]:[Movement]],"Credit", bcc[2024-07-01])-SUMIF(bcc[[Movement]:[Movement]],"Debit",bcc[2024-07-01])</f>
        <v>-3050</v>
      </c>
      <c r="F7" s="35">
        <f>SUMIF(bcc[[Movement]:[Movement]],"Credit", bcc[2024-08-01])-SUMIF(bcc[[Movement]:[Movement]],"Debit",bcc[2024-08-01])</f>
        <v>500</v>
      </c>
      <c r="G7" s="35">
        <f>SUMIF(bcc[[Movement]:[Movement]],"Credit", bcc[2024-09-01])-SUMIF(bcc[[Movement]:[Movement]],"Debit",bcc[2024-09-01])</f>
        <v>500</v>
      </c>
      <c r="H7" s="35">
        <f>SUMIF(bcc[[Movement]:[Movement]],"Credit", bcc[2024-10-01])-SUMIF(bcc[[Movement]:[Movement]],"Debit",bcc[2024-10-01])</f>
        <v>500</v>
      </c>
      <c r="I7" s="35">
        <f>SUMIF(bcc[[Movement]:[Movement]],"Credit", bcc[2024-11-01])-SUMIF(bcc[[Movement]:[Movement]],"Debit",bcc[2024-11-01])</f>
        <v>500</v>
      </c>
      <c r="J7" s="35">
        <f>SUMIF(bcc[[Movement]:[Movement]],"Credit", bcc[2024-12-01])-SUMIF(bcc[[Movement]:[Movement]],"Debit",bcc[2024-12-01])</f>
        <v>500</v>
      </c>
      <c r="K7" s="12">
        <f>SUMIF(bcc[Movement], "Credit", bcc[2025-02-01]) - SUMIF(bcc[Movement], "Debit", bcc[2025-02-01])</f>
        <v>-4130</v>
      </c>
      <c r="L7" s="12">
        <f>SUMIF(bcc[Movement], "Credit", bcc[2025-03-01]) - SUMIF(bcc[Movement], "Debit", bcc[2025-03-01])</f>
        <v>-3230</v>
      </c>
      <c r="M7" s="12">
        <f>SUMIF(bcc[Movement], "Credit", bcc[2025-04-01]) - SUMIF(bcc[Movement], "Debit", bcc[2025-04-01])</f>
        <v>-2330</v>
      </c>
      <c r="N7" s="12">
        <f>SUMIF(bcc[Movement], "Credit", bcc[2025-05-01]) - SUMIF(bcc[Movement], "Debit", bcc[2025-05-01])</f>
        <v>-1430</v>
      </c>
      <c r="O7" s="12">
        <f>SUMIF(bcc[Movement], "Credit", bcc[2025-06-01]) - SUMIF(bcc[Movement], "Debit", bcc[2025-06-01])</f>
        <v>-530</v>
      </c>
      <c r="P7" s="12">
        <f>SUMIF(bcc[Movement], "Credit", bcc[2025-07-01]) - SUMIF(bcc[Movement], "Debit", bcc[2025-07-01])</f>
        <v>370</v>
      </c>
      <c r="Q7" s="12">
        <f>SUMIF(bcc[Movement], "Credit", bcc[2025-08-01]) - SUMIF(bcc[Movement], "Debit", bcc[2025-08-01])</f>
        <v>-2230</v>
      </c>
      <c r="R7" s="12">
        <f>SUMIF(bcc[Movement], "Credit", bcc[2025-09-01]) - SUMIF(bcc[Movement], "Debit", bcc[2025-09-01])</f>
        <v>-1430</v>
      </c>
      <c r="S7" s="12">
        <f>SUMIF(bcc[Movement], "Credit", bcc[2025-10-01]) - SUMIF(bcc[Movement], "Debit", bcc[2025-10-01])</f>
        <v>-630</v>
      </c>
      <c r="T7" s="12">
        <f>SUMIF(bcc[Movement], "Credit", bcc[2025-11-01]) - SUMIF(bcc[Movement], "Debit", bcc[2025-11-01])</f>
        <v>170</v>
      </c>
      <c r="U7" s="12">
        <f>SUMIF(bcc[Movement], "Credit", bcc[2025-12-01]) - SUMIF(bcc[Movement], "Debit", bcc[2025-12-01])</f>
        <v>970</v>
      </c>
    </row>
    <row r="13" spans="1:21" x14ac:dyDescent="0.2">
      <c r="N13">
        <v>8000</v>
      </c>
    </row>
    <row r="14" spans="1:21" x14ac:dyDescent="0.2">
      <c r="N14">
        <v>30</v>
      </c>
    </row>
    <row r="15" spans="1:21" x14ac:dyDescent="0.2">
      <c r="N15">
        <v>1500</v>
      </c>
    </row>
    <row r="16" spans="1:21" x14ac:dyDescent="0.2">
      <c r="N16">
        <v>3500</v>
      </c>
    </row>
    <row r="17" spans="13:14" x14ac:dyDescent="0.2">
      <c r="M17" t="s">
        <v>106</v>
      </c>
      <c r="N17">
        <f>N13-SUM(N14:N16)</f>
        <v>2970</v>
      </c>
    </row>
    <row r="18" spans="13:14" x14ac:dyDescent="0.2">
      <c r="M18" t="s">
        <v>107</v>
      </c>
      <c r="N18">
        <f>SUM(N14:N16)</f>
        <v>5030</v>
      </c>
    </row>
    <row r="19" spans="13:14" x14ac:dyDescent="0.2">
      <c r="M19" t="s">
        <v>108</v>
      </c>
      <c r="N19">
        <f>N18/700</f>
        <v>7.1857142857142859</v>
      </c>
    </row>
    <row r="20" spans="13:14" x14ac:dyDescent="0.2">
      <c r="M20" t="s">
        <v>109</v>
      </c>
      <c r="N20">
        <f>N18/900</f>
        <v>5.5888888888888886</v>
      </c>
    </row>
  </sheetData>
  <pageMargins left="0.7" right="0.7" top="0.75" bottom="0.75" header="0.3" footer="0.3"/>
  <pageSetup paperSize="9" orientation="portrait" horizontalDpi="0" verticalDpi="0"/>
  <ignoredErrors>
    <ignoredError sqref="K3 K5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Jeanre Transactional</vt:lpstr>
      <vt:lpstr>Sheet1</vt:lpstr>
      <vt:lpstr>Bernice Transactional</vt:lpstr>
      <vt:lpstr>Bernice Credit Card</vt:lpstr>
      <vt:lpstr>Jeanre Credit Card </vt:lpstr>
      <vt:lpstr>Home Loan</vt:lpstr>
      <vt:lpstr>Jodine U</vt:lpstr>
      <vt:lpstr>Emergency</vt:lpstr>
      <vt:lpstr>Personal Wealth</vt:lpstr>
      <vt:lpstr>Dec 2025 calcs</vt:lpstr>
      <vt:lpstr>Jeanre Credit Card-old</vt:lpstr>
      <vt:lpstr>Bernice Credit Card-old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2025-02-05T17:02:45Z</dcterms:modified>
</cp:coreProperties>
</file>