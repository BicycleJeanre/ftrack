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ay/GIT-Repos-Personal/ftrack/Archive/original-excel-sources/"/>
    </mc:Choice>
  </mc:AlternateContent>
  <xr:revisionPtr revIDLastSave="0" documentId="13_ncr:1_{BB46B61C-231D-0D4A-A1AD-DEEDF1E31999}" xr6:coauthVersionLast="47" xr6:coauthVersionMax="47" xr10:uidLastSave="{00000000-0000-0000-0000-000000000000}"/>
  <bookViews>
    <workbookView xWindow="-220" yWindow="580" windowWidth="35840" windowHeight="21900" activeTab="2" xr2:uid="{F25DD163-696E-F842-A897-5E899A2812A7}"/>
  </bookViews>
  <sheets>
    <sheet name="Jeanre Transactional" sheetId="11" r:id="rId1"/>
    <sheet name="Bernice Transactional" sheetId="20" r:id="rId2"/>
    <sheet name="Bernice Credit Card" sheetId="29" r:id="rId3"/>
    <sheet name="Jeanre Credit Card " sheetId="28" r:id="rId4"/>
    <sheet name="Running Costs" sheetId="30" r:id="rId5"/>
    <sheet name="Home Loan" sheetId="26" r:id="rId6"/>
    <sheet name="Jodine U" sheetId="12" r:id="rId7"/>
    <sheet name="Emergency" sheetId="22" r:id="rId8"/>
    <sheet name="Personal Wealth" sheetId="14" r:id="rId9"/>
    <sheet name="Dec 2025 calcs" sheetId="27" r:id="rId10"/>
    <sheet name="Jeanre Credit Card-old" sheetId="19" r:id="rId11"/>
    <sheet name="Bernice Credit Card-old" sheetId="21" r:id="rId12"/>
    <sheet name="formula builders" sheetId="31" r:id="rId13"/>
  </sheets>
  <definedNames>
    <definedName name="solver_eng" localSheetId="12" hidden="1">1</definedName>
    <definedName name="solver_lin" localSheetId="12" hidden="1">2</definedName>
    <definedName name="solver_neg" localSheetId="12" hidden="1">1</definedName>
    <definedName name="solver_num" localSheetId="12" hidden="1">0</definedName>
    <definedName name="solver_opt" localSheetId="12" hidden="1">'formula builders'!$A$1</definedName>
    <definedName name="solver_typ" localSheetId="12" hidden="1">1</definedName>
    <definedName name="solver_val" localSheetId="12" hidden="1">0</definedName>
    <definedName name="solver_ver" localSheetId="12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20" l="1"/>
  <c r="N12" i="20"/>
  <c r="O12" i="20"/>
  <c r="P12" i="20"/>
  <c r="Q12" i="20"/>
  <c r="R12" i="20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R32" i="31"/>
  <c r="T32" i="31" s="1"/>
  <c r="R31" i="31"/>
  <c r="T31" i="31" s="1"/>
  <c r="U30" i="31"/>
  <c r="T30" i="31"/>
  <c r="R30" i="31"/>
  <c r="R29" i="31"/>
  <c r="U29" i="31" s="1"/>
  <c r="R28" i="31"/>
  <c r="T28" i="31" s="1"/>
  <c r="R27" i="31"/>
  <c r="U27" i="31" s="1"/>
  <c r="R26" i="31"/>
  <c r="U26" i="31" s="1"/>
  <c r="R25" i="31"/>
  <c r="U25" i="31" s="1"/>
  <c r="R24" i="31"/>
  <c r="U24" i="31" s="1"/>
  <c r="R23" i="31"/>
  <c r="T23" i="31" s="1"/>
  <c r="R22" i="31"/>
  <c r="U22" i="31" s="1"/>
  <c r="R21" i="31"/>
  <c r="U21" i="31" s="1"/>
  <c r="R20" i="31"/>
  <c r="U20" i="31" s="1"/>
  <c r="U19" i="31"/>
  <c r="R19" i="31"/>
  <c r="T19" i="31" s="1"/>
  <c r="R18" i="31"/>
  <c r="T18" i="31" s="1"/>
  <c r="R17" i="31"/>
  <c r="U17" i="31" s="1"/>
  <c r="R16" i="31"/>
  <c r="U16" i="31" s="1"/>
  <c r="R15" i="31"/>
  <c r="U15" i="31" s="1"/>
  <c r="U14" i="31"/>
  <c r="T14" i="31"/>
  <c r="R14" i="31"/>
  <c r="R13" i="31"/>
  <c r="U13" i="31" s="1"/>
  <c r="R12" i="31"/>
  <c r="U12" i="31" s="1"/>
  <c r="R11" i="31"/>
  <c r="T11" i="31" s="1"/>
  <c r="R10" i="31"/>
  <c r="U10" i="31" s="1"/>
  <c r="U9" i="31"/>
  <c r="R9" i="31"/>
  <c r="T9" i="31" s="1"/>
  <c r="T26" i="31" l="1"/>
  <c r="U31" i="31"/>
  <c r="T15" i="31"/>
  <c r="T21" i="31"/>
  <c r="T27" i="31"/>
  <c r="T22" i="31"/>
  <c r="U28" i="31"/>
  <c r="T13" i="31"/>
  <c r="U18" i="31"/>
  <c r="T29" i="31"/>
  <c r="T25" i="31"/>
  <c r="T20" i="31"/>
  <c r="U32" i="31"/>
  <c r="U11" i="31"/>
  <c r="T17" i="31"/>
  <c r="T12" i="31"/>
  <c r="U23" i="31"/>
  <c r="T24" i="31"/>
  <c r="T10" i="31"/>
  <c r="T16" i="31"/>
  <c r="L15" i="28" l="1"/>
  <c r="M12" i="30"/>
  <c r="N12" i="30"/>
  <c r="N15" i="30" s="1"/>
  <c r="K15" i="30"/>
  <c r="J15" i="30"/>
  <c r="I15" i="30"/>
  <c r="H15" i="30"/>
  <c r="G15" i="30"/>
  <c r="F15" i="30"/>
  <c r="E15" i="30"/>
  <c r="D15" i="30"/>
  <c r="C15" i="30"/>
  <c r="M13" i="30"/>
  <c r="M6" i="30"/>
  <c r="O15" i="30"/>
  <c r="P15" i="30" s="1"/>
  <c r="Q15" i="30" s="1"/>
  <c r="R15" i="30" s="1"/>
  <c r="S15" i="30" s="1"/>
  <c r="T15" i="30" s="1"/>
  <c r="U15" i="30" s="1"/>
  <c r="V15" i="30" s="1"/>
  <c r="W15" i="30" s="1"/>
  <c r="M15" i="30" l="1"/>
  <c r="N42" i="11" l="1"/>
  <c r="M42" i="11"/>
  <c r="L42" i="11"/>
  <c r="K42" i="11"/>
  <c r="J42" i="11"/>
  <c r="I42" i="11"/>
  <c r="H42" i="11"/>
  <c r="G42" i="11"/>
  <c r="F42" i="11"/>
  <c r="E42" i="11"/>
  <c r="D42" i="11"/>
  <c r="C42" i="11"/>
  <c r="Y71" i="11"/>
  <c r="Q74" i="11"/>
  <c r="M6" i="20"/>
  <c r="M13" i="20"/>
  <c r="K15" i="28" l="1"/>
  <c r="M56" i="11"/>
  <c r="K17" i="29"/>
  <c r="K16" i="29"/>
  <c r="J16" i="29"/>
  <c r="I16" i="29"/>
  <c r="H16" i="29"/>
  <c r="G16" i="29"/>
  <c r="F16" i="29"/>
  <c r="E16" i="29"/>
  <c r="D16" i="29"/>
  <c r="C16" i="29"/>
  <c r="B3" i="29"/>
  <c r="K18" i="28"/>
  <c r="B3" i="28"/>
  <c r="K17" i="28"/>
  <c r="L10" i="28" s="1"/>
  <c r="L18" i="28" s="1"/>
  <c r="J17" i="28"/>
  <c r="I17" i="28"/>
  <c r="H17" i="28"/>
  <c r="G17" i="28"/>
  <c r="F17" i="28"/>
  <c r="E17" i="28"/>
  <c r="D17" i="28"/>
  <c r="C17" i="28"/>
  <c r="N15" i="20"/>
  <c r="O15" i="20" s="1"/>
  <c r="P3" i="20" s="1"/>
  <c r="P15" i="20" s="1"/>
  <c r="Q15" i="20" s="1"/>
  <c r="R15" i="20" s="1"/>
  <c r="S15" i="20" s="1"/>
  <c r="T3" i="20" s="1"/>
  <c r="T15" i="20" s="1"/>
  <c r="U3" i="20" s="1"/>
  <c r="U15" i="20" s="1"/>
  <c r="V3" i="20" s="1"/>
  <c r="V15" i="20" s="1"/>
  <c r="W3" i="20" s="1"/>
  <c r="W15" i="20" s="1"/>
  <c r="M15" i="20"/>
  <c r="L41" i="11"/>
  <c r="M41" i="11" s="1"/>
  <c r="N18" i="21"/>
  <c r="N19" i="21" s="1"/>
  <c r="N17" i="21"/>
  <c r="K41" i="11"/>
  <c r="I59" i="11"/>
  <c r="G19" i="27"/>
  <c r="C19" i="27"/>
  <c r="K15" i="20"/>
  <c r="B19" i="27"/>
  <c r="I41" i="11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D7" i="21"/>
  <c r="E7" i="21"/>
  <c r="F7" i="21"/>
  <c r="G7" i="21"/>
  <c r="H7" i="21"/>
  <c r="I7" i="21"/>
  <c r="J7" i="21"/>
  <c r="C7" i="21"/>
  <c r="D15" i="20"/>
  <c r="E15" i="20"/>
  <c r="F15" i="20"/>
  <c r="G15" i="20"/>
  <c r="H15" i="20"/>
  <c r="I15" i="20"/>
  <c r="J15" i="20"/>
  <c r="C15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C9" i="12"/>
  <c r="E6" i="19"/>
  <c r="F6" i="19"/>
  <c r="G6" i="19"/>
  <c r="H6" i="19"/>
  <c r="I6" i="19"/>
  <c r="J6" i="19"/>
  <c r="D6" i="19"/>
  <c r="C6" i="19"/>
  <c r="C41" i="11"/>
  <c r="J41" i="11"/>
  <c r="H41" i="11"/>
  <c r="G41" i="11"/>
  <c r="F41" i="11"/>
  <c r="E41" i="11"/>
  <c r="D41" i="11"/>
  <c r="N41" i="11" l="1"/>
  <c r="O42" i="11" s="1"/>
  <c r="L10" i="29"/>
  <c r="L17" i="29" s="1"/>
  <c r="L17" i="28"/>
  <c r="N20" i="21"/>
  <c r="K7" i="21"/>
  <c r="L3" i="21" s="1"/>
  <c r="L7" i="21" s="1"/>
  <c r="M3" i="21" s="1"/>
  <c r="M7" i="21" s="1"/>
  <c r="N3" i="21" s="1"/>
  <c r="N7" i="21" s="1"/>
  <c r="O3" i="21" s="1"/>
  <c r="O7" i="21" s="1"/>
  <c r="P3" i="21" s="1"/>
  <c r="P7" i="21" s="1"/>
  <c r="Q3" i="21" s="1"/>
  <c r="Q7" i="21" s="1"/>
  <c r="R3" i="21" s="1"/>
  <c r="R7" i="21" s="1"/>
  <c r="S3" i="21" s="1"/>
  <c r="S7" i="21" s="1"/>
  <c r="T3" i="21" s="1"/>
  <c r="T7" i="21" s="1"/>
  <c r="U3" i="21" s="1"/>
  <c r="U7" i="21" s="1"/>
  <c r="O41" i="11" l="1"/>
  <c r="P42" i="11" s="1"/>
  <c r="L16" i="29"/>
  <c r="M10" i="29" s="1"/>
  <c r="M17" i="29" s="1"/>
  <c r="M10" i="28"/>
  <c r="M18" i="28" s="1"/>
  <c r="M17" i="28"/>
  <c r="N9" i="28" s="1"/>
  <c r="P41" i="11" l="1"/>
  <c r="Q42" i="11" s="1"/>
  <c r="M16" i="29"/>
  <c r="N10" i="28"/>
  <c r="Q41" i="11" l="1"/>
  <c r="R7" i="11" s="1"/>
  <c r="R42" i="11" s="1"/>
  <c r="N10" i="29"/>
  <c r="N17" i="29" s="1"/>
  <c r="N17" i="28"/>
  <c r="O9" i="28" s="1"/>
  <c r="N18" i="28"/>
  <c r="R41" i="11" l="1"/>
  <c r="S7" i="11" s="1"/>
  <c r="S42" i="11" s="1"/>
  <c r="N16" i="29"/>
  <c r="O10" i="29" s="1"/>
  <c r="O17" i="29" s="1"/>
  <c r="O10" i="28"/>
  <c r="O18" i="28" s="1"/>
  <c r="S41" i="11" l="1"/>
  <c r="T7" i="11" s="1"/>
  <c r="T42" i="11" s="1"/>
  <c r="O16" i="29"/>
  <c r="P10" i="29" s="1"/>
  <c r="P17" i="29" s="1"/>
  <c r="O17" i="28"/>
  <c r="P9" i="28" s="1"/>
  <c r="P10" i="28" s="1"/>
  <c r="T41" i="11" l="1"/>
  <c r="U7" i="11" s="1"/>
  <c r="U42" i="11" s="1"/>
  <c r="P18" i="28"/>
  <c r="P17" i="28"/>
  <c r="Q9" i="28" s="1"/>
  <c r="Q10" i="28" s="1"/>
  <c r="Q18" i="28" s="1"/>
  <c r="P16" i="29"/>
  <c r="U41" i="11" l="1"/>
  <c r="V7" i="11" s="1"/>
  <c r="V42" i="11" s="1"/>
  <c r="Q17" i="28"/>
  <c r="R9" i="28" s="1"/>
  <c r="R10" i="28" s="1"/>
  <c r="Q10" i="29"/>
  <c r="Q17" i="29" s="1"/>
  <c r="Q16" i="29" l="1"/>
  <c r="R9" i="29" s="1"/>
  <c r="R10" i="29" s="1"/>
  <c r="V41" i="11"/>
  <c r="R18" i="28"/>
  <c r="R17" i="28"/>
  <c r="S9" i="28" s="1"/>
  <c r="S10" i="28" s="1"/>
  <c r="S18" i="28" s="1"/>
  <c r="R17" i="29" l="1"/>
  <c r="R16" i="29"/>
  <c r="S9" i="29" s="1"/>
  <c r="S17" i="28"/>
  <c r="T9" i="28" s="1"/>
  <c r="T10" i="28" s="1"/>
  <c r="T18" i="28" s="1"/>
  <c r="S10" i="29" l="1"/>
  <c r="S17" i="29" s="1"/>
  <c r="T17" i="28"/>
  <c r="U9" i="28" s="1"/>
  <c r="U10" i="28" s="1"/>
  <c r="S16" i="29" l="1"/>
  <c r="T9" i="29" s="1"/>
  <c r="T10" i="29" s="1"/>
  <c r="T17" i="29"/>
  <c r="T16" i="29"/>
  <c r="U9" i="29" s="1"/>
  <c r="U10" i="29" s="1"/>
  <c r="U17" i="29" s="1"/>
  <c r="U18" i="28"/>
  <c r="U17" i="28"/>
  <c r="U16" i="29" l="1"/>
</calcChain>
</file>

<file path=xl/sharedStrings.xml><?xml version="1.0" encoding="utf-8"?>
<sst xmlns="http://schemas.openxmlformats.org/spreadsheetml/2006/main" count="646" uniqueCount="241">
  <si>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</si>
  <si>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</si>
  <si>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</si>
  <si>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</si>
  <si>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</si>
  <si>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</si>
  <si>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</si>
  <si>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</si>
  <si>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</si>
  <si>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</si>
  <si>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</si>
  <si>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</si>
  <si>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</si>
  <si>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</si>
  <si>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</si>
  <si>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</si>
  <si>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</si>
  <si>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</si>
  <si>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</si>
  <si>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</si>
  <si>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</si>
  <si>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</si>
  <si>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</si>
  <si>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</si>
  <si>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</si>
  <si>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</si>
  <si>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</si>
  <si>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</si>
  <si>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</si>
  <si>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</si>
  <si>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</si>
  <si>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</si>
  <si>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</si>
  <si>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</si>
  <si>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</si>
  <si>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</si>
  <si>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</si>
  <si>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</si>
  <si>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</si>
  <si>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</si>
  <si>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</si>
  <si>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</si>
  <si>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</si>
  <si>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</si>
  <si>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</si>
  <si>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</si>
  <si>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</si>
  <si>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</si>
  <si>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</si>
  <si>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</si>
  <si>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</si>
  <si>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</si>
  <si>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</si>
  <si>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</si>
  <si>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</si>
  <si>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</si>
  <si>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</si>
  <si>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</si>
  <si>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</si>
  <si>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</si>
  <si>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</si>
  <si>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</si>
  <si>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</si>
  <si>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</si>
  <si>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</si>
  <si>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</si>
  <si>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</si>
  <si>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</si>
  <si>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</si>
  <si>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</si>
  <si>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</si>
  <si>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</si>
  <si>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</si>
  <si>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</si>
  <si>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</si>
  <si>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</si>
  <si>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</si>
  <si>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</si>
  <si>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</si>
  <si>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</si>
  <si>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Medical</t>
  </si>
  <si>
    <t>Vehicle Licenses</t>
  </si>
  <si>
    <t>Budget Retained Balance</t>
  </si>
  <si>
    <t>Comic Con</t>
  </si>
  <si>
    <t>Bulk Meat</t>
  </si>
  <si>
    <t>Tax</t>
  </si>
  <si>
    <t>Bernice Personal Savings</t>
  </si>
  <si>
    <t>Tax Refund</t>
  </si>
  <si>
    <t>Vape</t>
  </si>
  <si>
    <t>Gaming</t>
  </si>
  <si>
    <t>Retained Balance</t>
  </si>
  <si>
    <t>Accounts</t>
  </si>
  <si>
    <t>Events</t>
  </si>
  <si>
    <t>things to pay</t>
  </si>
  <si>
    <t>amount to pay</t>
  </si>
  <si>
    <t>no-choice</t>
  </si>
  <si>
    <t>2024-12-02</t>
  </si>
  <si>
    <t>previous month insurance</t>
  </si>
  <si>
    <t>cash</t>
  </si>
  <si>
    <t>jodine</t>
  </si>
  <si>
    <t>save</t>
  </si>
  <si>
    <t>Jan Account</t>
  </si>
  <si>
    <t>jan spend</t>
  </si>
  <si>
    <t>feb</t>
  </si>
  <si>
    <t>march</t>
  </si>
  <si>
    <t>done</t>
  </si>
  <si>
    <t>left</t>
  </si>
  <si>
    <t>debt</t>
  </si>
  <si>
    <t>divide by 700 to get months</t>
  </si>
  <si>
    <t>divide by 900 to get months</t>
  </si>
  <si>
    <t>Geely Parts</t>
  </si>
  <si>
    <t>GGServers</t>
  </si>
  <si>
    <t>Fiddler</t>
  </si>
  <si>
    <t>Fees</t>
  </si>
  <si>
    <t>Interest</t>
  </si>
  <si>
    <t>Item</t>
  </si>
  <si>
    <t>Amount</t>
  </si>
  <si>
    <t>Interest NACM</t>
  </si>
  <si>
    <t>Interst Monthly</t>
  </si>
  <si>
    <t>Debit Total</t>
  </si>
  <si>
    <t>Gas</t>
  </si>
  <si>
    <t>econo</t>
  </si>
  <si>
    <t>total</t>
  </si>
  <si>
    <t>game</t>
  </si>
  <si>
    <t>dis chem</t>
  </si>
  <si>
    <t>food lovers</t>
  </si>
  <si>
    <t>Leftover</t>
  </si>
  <si>
    <t>jay main</t>
  </si>
  <si>
    <t xml:space="preserve">bulk meat </t>
  </si>
  <si>
    <t>shoprite</t>
  </si>
  <si>
    <t xml:space="preserve">food lovers </t>
  </si>
  <si>
    <t xml:space="preserve">westpack </t>
  </si>
  <si>
    <t>airtime</t>
  </si>
  <si>
    <t xml:space="preserve">kfc </t>
  </si>
  <si>
    <t>fuel</t>
  </si>
  <si>
    <t>checkers</t>
  </si>
  <si>
    <t xml:space="preserve">dis chem </t>
  </si>
  <si>
    <t>checkers - mother weekend</t>
  </si>
  <si>
    <t>fuel mother weekend</t>
  </si>
  <si>
    <t>garage mother weekend</t>
  </si>
  <si>
    <t>spar mother weekend</t>
  </si>
  <si>
    <t>claim from BCL for april</t>
  </si>
  <si>
    <t>B credit card</t>
  </si>
  <si>
    <t>Game</t>
  </si>
  <si>
    <t>vision meat</t>
  </si>
  <si>
    <t>3700 from jay</t>
  </si>
  <si>
    <t>4500 from B credit card</t>
  </si>
  <si>
    <t>8200 budget total</t>
  </si>
  <si>
    <t>1384 over budget</t>
  </si>
  <si>
    <t>1873 from b credit card</t>
  </si>
  <si>
    <t>7711 from jay main</t>
  </si>
  <si>
    <t xml:space="preserve">2627 needed from b credit card </t>
  </si>
  <si>
    <t xml:space="preserve">I have </t>
  </si>
  <si>
    <t>I am getting</t>
  </si>
  <si>
    <t>municipal account</t>
  </si>
  <si>
    <t>medical</t>
  </si>
  <si>
    <t>shortfall</t>
  </si>
  <si>
    <t>gap between these two is because of the leftover from the food budget</t>
  </si>
  <si>
    <t>1015 for mother weekend</t>
  </si>
  <si>
    <t xml:space="preserve">from bernice credit card. </t>
  </si>
  <si>
    <t>i can pay now</t>
  </si>
  <si>
    <t xml:space="preserve">extra next month: </t>
  </si>
  <si>
    <t>no retain</t>
  </si>
  <si>
    <t>Groceries</t>
  </si>
  <si>
    <t>Econo Foods</t>
  </si>
  <si>
    <t>Food Lovers</t>
  </si>
  <si>
    <t>Dis-Chem</t>
  </si>
  <si>
    <t>Shoprite</t>
  </si>
  <si>
    <t>Checkers</t>
  </si>
  <si>
    <t xml:space="preserve"> West Pack</t>
  </si>
  <si>
    <t>Take-Out</t>
  </si>
  <si>
    <t>General Stores</t>
  </si>
  <si>
    <t>Hair</t>
  </si>
  <si>
    <t>Easy Equities</t>
  </si>
  <si>
    <t>01/04/2025</t>
  </si>
  <si>
    <t>NEW HEROTEL EFT DETAILS!!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</si>
  <si>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</si>
  <si>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</si>
  <si>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</si>
  <si>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</si>
  <si>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</si>
  <si>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</si>
  <si>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</si>
  <si>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</si>
  <si>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Sep-27</t>
  </si>
  <si>
    <t>Oct-27</t>
  </si>
  <si>
    <t>Nov-27</t>
  </si>
  <si>
    <t>Dec-27</t>
  </si>
  <si>
    <t>=SUMIF([Type], "Income",[Jan-28])-sumif([Type], "Expense",[Jan-28])</t>
  </si>
  <si>
    <t>=ROUND(Table143911[[#Totals],[Jan-28]]*$B$3,2)</t>
  </si>
  <si>
    <t>=SUMIF([Type], "Income",[Feb-28])-sumif([Type], "Expense",[Feb-28])</t>
  </si>
  <si>
    <t>=ROUND(Table143911[[#Totals],[Feb-28]]*$B$3,2)</t>
  </si>
  <si>
    <t>=SUMIF([Type], "Income",[Mar-28])-sumif([Type], "Expense",[Mar-28])</t>
  </si>
  <si>
    <t>=ROUND(Table143911[[#Totals],[Mar-28]]*$B$3,2)</t>
  </si>
  <si>
    <t>=SUMIF([Type], "Income",[Apr-28])-sumif([Type], "Expense",[Apr-28])</t>
  </si>
  <si>
    <t>=ROUND(Table143911[[#Totals],[Apr-28]]*$B$3,2)</t>
  </si>
  <si>
    <t>=SUMIF([Type],"Income",[Nov-27])-SUMIF([Type],"Expense",[Nov-27])</t>
  </si>
  <si>
    <t>=SUMIF([Type], "Income",[May-28])-sumif([Type], "Expense",[May-28])</t>
  </si>
  <si>
    <t>=ROUND(Table143911[[#Totals],[May-28]]*$B$3,2)</t>
  </si>
  <si>
    <t>=SUMIF([Type],"Income",[Dec-27])-SUMIF([Type],"Expense",[Dec-27])</t>
  </si>
  <si>
    <t>=SUMIF([Type], "Income",[Jun-28])-sumif([Type], "Expense",[Jun-28])</t>
  </si>
  <si>
    <t>=ROUND(Table143911[[#Totals],[Jun-28]]*$B$3,2)</t>
  </si>
  <si>
    <t>=SUMIF([Type], "Income",[Jul-28])-sumif([Type], "Expense",[Jul-28])</t>
  </si>
  <si>
    <t>=ROUND(Table143911[[#Totals],[Jul-28]]*$B$3,2)</t>
  </si>
  <si>
    <t>=SUMIF([Type], "Income",[Aug-28])-sumif([Type], "Expense",[Aug-28])</t>
  </si>
  <si>
    <t>=ROUND(Table143911[[#Totals],[Aug-28]]*$B$3,2)</t>
  </si>
  <si>
    <t>=SUMIF([Type], "Income",[Sep-28])-sumif([Type], "Expense",[Sep-28])</t>
  </si>
  <si>
    <t>=ROUND(Table143911[[#Totals],[Sep-28]]*$B$3,2)</t>
  </si>
  <si>
    <t>=ROUND(Table143911[[#Totals],[Dec-27]]*$B$3,2)</t>
  </si>
  <si>
    <t>=SUMIF([Type], "Income",[Oct-28])-sumif([Type], "Expense",[Oct-28])</t>
  </si>
  <si>
    <t>=ROUND(Table143911[[#Totals],[Oct-28]]*$B$3,2)</t>
  </si>
  <si>
    <t>=SUMIF([Type], "Income",[Nov-28])-sumif([Type], "Expense",[Nov-28])</t>
  </si>
  <si>
    <t>=ROUND(Table143911[[#Totals],[Nov-28]]*$B$3,2)</t>
  </si>
  <si>
    <t>=SUMIF([Type], "Income",[Dec-28])-sumif([Type], "Expense",[Dec-28])</t>
  </si>
  <si>
    <t>=ROUND(Table143911[[#Totals],[Dec-28]]*$B$3,2)</t>
  </si>
  <si>
    <t>=SUMIF([Type], "Income",[Jan-29])-sumif([Type], "Expense",[Jan-29])</t>
  </si>
  <si>
    <t>=ROUND(Table143911[[#Totals],[Jan-29]]*$B$3,2)</t>
  </si>
  <si>
    <t>=SUMIF([Type], "Income",[Feb-29])-sumif([Type], "Expense",[Feb-29])</t>
  </si>
  <si>
    <t>=ROUND(Table143911[[#Totals],[Feb-29]]*$B$3,2)</t>
  </si>
  <si>
    <t>=SUMIF([Type], "Income",[Mar-29])-sumif([Type], "Expense",[Mar-29])</t>
  </si>
  <si>
    <t>=ROUND(Table143911[[#Totals],[Mar-29]]*$B$3,2)</t>
  </si>
  <si>
    <t>=SUMIF([Type], "Income",[Apr-29])-sumif([Type], "Expense",[Apr-29])</t>
  </si>
  <si>
    <t>=ROUND(Table143911[[#Totals],[Apr-29]]*$B$3,2)</t>
  </si>
  <si>
    <t>=SUMIF([Type], "Income",[May-29])-sumif([Type], "Expense",[May-29])</t>
  </si>
  <si>
    <t>=ROUND(Table143911[[#Totals],[May-29]]*$B$3,2)</t>
  </si>
  <si>
    <t>=SUMIF([Type], "Income",[Jun-29])-sumif([Type], "Expense",[Jun-29])</t>
  </si>
  <si>
    <t>=ROUND(Table143911[[#Totals],[Jun-29]]*$B$3,2)</t>
  </si>
  <si>
    <t>=SUMIF([Type], "Income",[Jul-29])-sumif([Type], "Expense",[Jul-29])</t>
  </si>
  <si>
    <t>=ROUND(Table143911[[#Totals],[Jul-29]]*$B$3,2)</t>
  </si>
  <si>
    <t>=SUMIF([Type], "Income",[Aug-29])-sumif([Type], "Expense",[Aug-29])</t>
  </si>
  <si>
    <t>=ROUND(Table143911[[#Totals],[Aug-29]]*$B$3,2)</t>
  </si>
  <si>
    <t>=SUMIF([Type], "Income",[Sep-29])-sumif([Type], "Expense",[Sep-29])</t>
  </si>
  <si>
    <t>=ROUND(Table143911[[#Totals],[Sep-29]]*$B$3,2)</t>
  </si>
  <si>
    <t>=SUMIF([Type], "Income",[Oct-29])-sumif([Type], "Expense",[Oct-29])</t>
  </si>
  <si>
    <t>=ROUND(Table143911[[#Totals],[Oct-29]]*$B$3,2)</t>
  </si>
  <si>
    <t>=SUMIF([Type], "Income",[Nov-29])-sumif([Type], "Expense",[Nov-29])</t>
  </si>
  <si>
    <t>=ROUND(Table143911[[#Totals],[Nov-29]]*$B$3,2)</t>
  </si>
  <si>
    <t>=SUMIF([Type], "Income",[Dec-29])-sumif([Type], "Expense",[Dec-29])</t>
  </si>
  <si>
    <t>=ROUND(Table143911[[#Totals],[Dec-29]]*$B$3,2)</t>
  </si>
  <si>
    <t>Child Fund</t>
  </si>
  <si>
    <t>Child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</si>
</sst>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3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color rgb="FF464646"/>
      <name val="Calibri"/>
      <family val="2"/>
    </font>
    <font>
      <b/>
      <sz val="16"/>
      <color rgb="FF7030A0"/>
      <name val="Aptos Narrow"/>
      <family val="2"/>
      <scheme val="minor"/>
    </font>
    <font>
      <b/>
      <sz val="16"/>
      <color rgb="FFFFFF00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6"/>
      <color rgb="FF00B050"/>
      <name val="Aptos Narrow"/>
      <scheme val="minor"/>
    </font>
    <font>
      <b/>
      <sz val="16"/>
      <color rgb="FF00B050"/>
      <name val="Aptos Narrow"/>
    </font>
    <font>
      <b/>
      <sz val="16"/>
      <color rgb="FF0070C0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6"/>
      <color theme="9"/>
      <name val="Aptos Narrow"/>
    </font>
    <font>
      <b/>
      <sz val="16"/>
      <color rgb="FF00B0F0"/>
      <name val="Aptos Narrow"/>
      <scheme val="minor"/>
    </font>
    <font>
      <b/>
      <sz val="16"/>
      <color rgb="FFFF0000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theme="0" tint="-0.14999847407452621"/>
      </patternFill>
    </fill>
    <fill>
      <patternFill patternType="solid">
        <fgColor theme="7" tint="0.59999389629810485"/>
        <bgColor rgb="FF000000"/>
      </patternFill>
    </fill>
    <fill>
      <patternFill patternType="solid">
        <fgColor rgb="FF8FFF77"/>
      </patternFill>
    </fill>
    <fill>
      <patternFill patternType="solid">
        <fgColor rgb="FFFFFFFF"/>
      </patternFill>
    </fill>
    <fill>
      <patternFill patternType="solid">
        <fgColor rgb="FFDAF2D0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26" fillId="18" borderId="0" applyNumberFormat="0" applyBorder="0" applyAlignment="0" applyProtection="0"/>
    <xf numFmtId="0" fontId="27" fillId="19" borderId="0" applyNumberFormat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  <xf numFmtId="0" fontId="9" fillId="5" borderId="0" xfId="0" applyFont="1" applyFill="1"/>
    <xf numFmtId="44" fontId="18" fillId="10" borderId="0" xfId="0" applyNumberFormat="1" applyFont="1" applyFill="1"/>
    <xf numFmtId="0" fontId="9" fillId="13" borderId="0" xfId="0" applyFont="1" applyFill="1"/>
    <xf numFmtId="44" fontId="11" fillId="14" borderId="0" xfId="0" applyNumberFormat="1" applyFont="1" applyFill="1"/>
    <xf numFmtId="0" fontId="19" fillId="15" borderId="9" xfId="0" applyFont="1" applyFill="1" applyBorder="1" applyAlignment="1">
      <alignment vertical="top"/>
    </xf>
    <xf numFmtId="4" fontId="19" fillId="16" borderId="9" xfId="0" applyNumberFormat="1" applyFont="1" applyFill="1" applyBorder="1" applyAlignment="1">
      <alignment vertical="top"/>
    </xf>
    <xf numFmtId="4" fontId="0" fillId="0" borderId="0" xfId="0" applyNumberFormat="1"/>
    <xf numFmtId="0" fontId="19" fillId="15" borderId="0" xfId="0" applyFont="1" applyFill="1" applyAlignment="1">
      <alignment vertical="top"/>
    </xf>
    <xf numFmtId="4" fontId="19" fillId="16" borderId="0" xfId="0" applyNumberFormat="1" applyFont="1" applyFill="1" applyAlignment="1">
      <alignment vertical="top"/>
    </xf>
    <xf numFmtId="44" fontId="1" fillId="0" borderId="0" xfId="0" applyNumberFormat="1" applyFont="1"/>
    <xf numFmtId="0" fontId="1" fillId="0" borderId="10" xfId="0" applyFont="1" applyBorder="1"/>
    <xf numFmtId="49" fontId="1" fillId="0" borderId="2" xfId="0" applyNumberFormat="1" applyFont="1" applyBorder="1"/>
    <xf numFmtId="0" fontId="10" fillId="2" borderId="2" xfId="0" applyFont="1" applyFill="1" applyBorder="1"/>
    <xf numFmtId="0" fontId="10" fillId="2" borderId="4" xfId="0" applyFont="1" applyFill="1" applyBorder="1"/>
    <xf numFmtId="44" fontId="18" fillId="2" borderId="4" xfId="0" applyNumberFormat="1" applyFont="1" applyFill="1" applyBorder="1"/>
    <xf numFmtId="44" fontId="20" fillId="2" borderId="4" xfId="0" applyNumberFormat="1" applyFont="1" applyFill="1" applyBorder="1"/>
    <xf numFmtId="44" fontId="18" fillId="2" borderId="0" xfId="0" applyNumberFormat="1" applyFont="1" applyFill="1"/>
    <xf numFmtId="44" fontId="20" fillId="2" borderId="0" xfId="0" applyNumberFormat="1" applyFont="1" applyFill="1"/>
    <xf numFmtId="44" fontId="18" fillId="3" borderId="0" xfId="0" applyNumberFormat="1" applyFont="1" applyFill="1"/>
    <xf numFmtId="44" fontId="20" fillId="3" borderId="0" xfId="0" applyNumberFormat="1" applyFont="1" applyFill="1"/>
    <xf numFmtId="44" fontId="20" fillId="10" borderId="0" xfId="0" applyNumberFormat="1" applyFont="1" applyFill="1"/>
    <xf numFmtId="44" fontId="22" fillId="3" borderId="0" xfId="0" applyNumberFormat="1" applyFont="1" applyFill="1"/>
    <xf numFmtId="44" fontId="21" fillId="3" borderId="0" xfId="0" applyNumberFormat="1" applyFont="1" applyFill="1"/>
    <xf numFmtId="0" fontId="13" fillId="6" borderId="5" xfId="0" applyFont="1" applyFill="1" applyBorder="1"/>
    <xf numFmtId="44" fontId="13" fillId="6" borderId="5" xfId="0" applyNumberFormat="1" applyFont="1" applyFill="1" applyBorder="1"/>
    <xf numFmtId="44" fontId="12" fillId="3" borderId="0" xfId="0" applyNumberFormat="1" applyFont="1" applyFill="1"/>
    <xf numFmtId="44" fontId="12" fillId="10" borderId="0" xfId="0" applyNumberFormat="1" applyFont="1" applyFill="1"/>
    <xf numFmtId="44" fontId="8" fillId="17" borderId="0" xfId="0" applyNumberFormat="1" applyFont="1" applyFill="1"/>
    <xf numFmtId="44" fontId="8" fillId="17" borderId="8" xfId="0" applyNumberFormat="1" applyFont="1" applyFill="1" applyBorder="1"/>
    <xf numFmtId="44" fontId="1" fillId="0" borderId="1" xfId="0" applyNumberFormat="1" applyFont="1" applyBorder="1"/>
    <xf numFmtId="44" fontId="11" fillId="17" borderId="0" xfId="0" applyNumberFormat="1" applyFont="1" applyFill="1"/>
    <xf numFmtId="44" fontId="23" fillId="2" borderId="0" xfId="0" applyNumberFormat="1" applyFont="1" applyFill="1"/>
    <xf numFmtId="44" fontId="24" fillId="14" borderId="0" xfId="0" applyNumberFormat="1" applyFont="1" applyFill="1"/>
    <xf numFmtId="44" fontId="23" fillId="3" borderId="0" xfId="0" applyNumberFormat="1" applyFont="1" applyFill="1"/>
    <xf numFmtId="44" fontId="23" fillId="10" borderId="0" xfId="0" applyNumberFormat="1" applyFont="1" applyFill="1"/>
    <xf numFmtId="44" fontId="8" fillId="14" borderId="0" xfId="0" applyNumberFormat="1" applyFont="1" applyFill="1"/>
    <xf numFmtId="44" fontId="23" fillId="14" borderId="0" xfId="0" applyNumberFormat="1" applyFont="1" applyFill="1"/>
    <xf numFmtId="44" fontId="24" fillId="12" borderId="0" xfId="0" applyNumberFormat="1" applyFont="1" applyFill="1"/>
    <xf numFmtId="44" fontId="25" fillId="3" borderId="0" xfId="0" applyNumberFormat="1" applyFont="1" applyFill="1"/>
    <xf numFmtId="0" fontId="2" fillId="0" borderId="9" xfId="0" applyFont="1" applyBorder="1"/>
    <xf numFmtId="0" fontId="0" fillId="0" borderId="9" xfId="0" applyBorder="1"/>
    <xf numFmtId="0" fontId="0" fillId="0" borderId="12" xfId="0" applyBorder="1"/>
    <xf numFmtId="0" fontId="2" fillId="0" borderId="12" xfId="0" applyFont="1" applyBorder="1"/>
    <xf numFmtId="0" fontId="0" fillId="0" borderId="11" xfId="0" applyBorder="1"/>
    <xf numFmtId="0" fontId="2" fillId="0" borderId="11" xfId="0" applyFont="1" applyBorder="1"/>
    <xf numFmtId="44" fontId="8" fillId="12" borderId="0" xfId="0" applyNumberFormat="1" applyFont="1" applyFill="1"/>
    <xf numFmtId="44" fontId="23" fillId="12" borderId="0" xfId="0" applyNumberFormat="1" applyFont="1" applyFill="1"/>
    <xf numFmtId="0" fontId="27" fillId="19" borderId="0" xfId="2"/>
    <xf numFmtId="0" fontId="26" fillId="18" borderId="0" xfId="1"/>
    <xf numFmtId="0" fontId="10" fillId="6" borderId="8" xfId="0" applyFont="1" applyFill="1" applyBorder="1"/>
    <xf numFmtId="44" fontId="12" fillId="12" borderId="0" xfId="0" applyNumberFormat="1" applyFont="1" applyFill="1"/>
    <xf numFmtId="14" fontId="1" fillId="0" borderId="1" xfId="0" applyNumberFormat="1" applyFont="1" applyBorder="1"/>
    <xf numFmtId="44" fontId="12" fillId="14" borderId="0" xfId="0" applyNumberFormat="1" applyFont="1" applyFill="1"/>
    <xf numFmtId="44" fontId="28" fillId="14" borderId="0" xfId="0" applyNumberFormat="1" applyFont="1" applyFill="1"/>
    <xf numFmtId="44" fontId="29" fillId="3" borderId="0" xfId="0" applyNumberFormat="1" applyFont="1" applyFill="1"/>
    <xf numFmtId="44" fontId="29" fillId="10" borderId="0" xfId="0" applyNumberFormat="1" applyFont="1" applyFill="1"/>
    <xf numFmtId="17" fontId="1" fillId="0" borderId="5" xfId="0" applyNumberFormat="1" applyFont="1" applyBorder="1"/>
    <xf numFmtId="17" fontId="0" fillId="0" borderId="0" xfId="0" applyNumberFormat="1"/>
    <xf numFmtId="0" fontId="0" fillId="0" borderId="0" xfId="0" quotePrefix="1"/>
    <xf numFmtId="44" fontId="30" fillId="10" borderId="0" xfId="0" applyNumberFormat="1" applyFont="1" applyFill="1"/>
    <xf numFmtId="44" fontId="30" fillId="3" borderId="0" xfId="0" applyNumberFormat="1" applyFont="1" applyFill="1"/>
  </cellXfs>
  <cellStyles count="3">
    <cellStyle name="Good" xfId="1" builtinId="26"/>
    <cellStyle name="Neutral" xfId="2" builtinId="28"/>
    <cellStyle name="Normal" xfId="0" builtinId="0"/>
  </cellStyles>
  <dxfs count="35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5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Debt</a:t>
            </a:r>
            <a:r>
              <a:rPr lang="en-GB" baseline="0"/>
              <a:t> 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19"/>
            <c:spPr>
              <a:solidFill>
                <a:schemeClr val="bg1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solidFill>
                  <a:schemeClr val="bg1"/>
                </a:solidFill>
                <a:ln w="9525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137-9247-9BEB-E94FF6BA0DB9}"/>
              </c:ext>
            </c:extLst>
          </c:dPt>
          <c:dPt>
            <c:idx val="1"/>
            <c:marker>
              <c:symbol val="circle"/>
              <c:size val="6"/>
              <c:spPr>
                <a:solidFill>
                  <a:schemeClr val="bg1"/>
                </a:solidFill>
                <a:ln w="9525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137-9247-9BEB-E94FF6BA0DB9}"/>
              </c:ext>
            </c:extLst>
          </c:dPt>
          <c:cat>
            <c:strRef>
              <c:f>'Bernice Credit Card'!$K$7:$U$7</c:f>
              <c:strCache>
                <c:ptCount val="5"/>
                <c:pt idx="0">
                  <c:v> 2025-08-01 </c:v>
                </c:pt>
                <c:pt idx="1">
                  <c:v> 2025-09-01 </c:v>
                </c:pt>
                <c:pt idx="2">
                  <c:v> 2025-10-01 </c:v>
                </c:pt>
                <c:pt idx="3">
                  <c:v> 2025-11-01 </c:v>
                </c:pt>
                <c:pt idx="4">
                  <c:v> 2025-12-01 </c:v>
                </c:pt>
              </c:strCache>
            </c:strRef>
          </c:cat>
          <c:val>
            <c:numRef>
              <c:f>'Bernice Credit Card'!$K$16:$U$16</c:f>
              <c:numCache>
                <c:formatCode>_("R"* #,##0.00_);_("R"* \(#,##0.00\);_("R"* "-"??_);_(@_)</c:formatCode>
                <c:ptCount val="5"/>
                <c:pt idx="0">
                  <c:v>-7495.0310416666671</c:v>
                </c:pt>
                <c:pt idx="1">
                  <c:v>-5599.649183289931</c:v>
                </c:pt>
                <c:pt idx="2">
                  <c:v>-3677.8109531400196</c:v>
                </c:pt>
                <c:pt idx="3">
                  <c:v>-1729.1470643609323</c:v>
                </c:pt>
                <c:pt idx="4">
                  <c:v>246.71692453236304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137-9247-9BEB-E94FF6BA0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0079"/>
        <c:axId val="328521727"/>
      </c:lineChart>
      <c:catAx>
        <c:axId val="4110079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2400" b="0" i="0" u="none" strike="noStrike" kern="1200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521727"/>
        <c:crosses val="autoZero"/>
        <c:auto val="1"/>
        <c:lblAlgn val="ctr"/>
        <c:lblOffset val="100"/>
        <c:noMultiLvlLbl val="0"/>
      </c:catAx>
      <c:valAx>
        <c:axId val="32852172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&quot;* #,##0.00_);_(&quot;R&quot;* \(#,##0.00\);_(&quot;R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Debt</a:t>
            </a:r>
            <a:r>
              <a:rPr lang="en-GB" baseline="0"/>
              <a:t> 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BF6-404D-879B-B7EDCA3DF546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BF6-404D-879B-B7EDCA3DF546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BF6-404D-879B-B7EDCA3DF546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BF6-404D-879B-B7EDCA3DF54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BF6-404D-879B-B7EDCA3DF546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BF6-404D-879B-B7EDCA3DF546}"/>
              </c:ext>
            </c:extLst>
          </c:dPt>
          <c:cat>
            <c:strRef>
              <c:f>'Jeanre Credit Card '!$K$7:$U$7</c:f>
              <c:strCache>
                <c:ptCount val="9"/>
                <c:pt idx="0">
                  <c:v>01/04/2025</c:v>
                </c:pt>
                <c:pt idx="1">
                  <c:v> 2025-05-01 </c:v>
                </c:pt>
                <c:pt idx="2">
                  <c:v> 2025-06-01 </c:v>
                </c:pt>
                <c:pt idx="3">
                  <c:v> 2025-07-01 </c:v>
                </c:pt>
                <c:pt idx="4">
                  <c:v> 2025-08-01 </c:v>
                </c:pt>
                <c:pt idx="5">
                  <c:v> 2025-09-01 </c:v>
                </c:pt>
                <c:pt idx="6">
                  <c:v> 2025-10-01 </c:v>
                </c:pt>
                <c:pt idx="7">
                  <c:v> 2025-11-01 </c:v>
                </c:pt>
                <c:pt idx="8">
                  <c:v> 2025-12-01 </c:v>
                </c:pt>
              </c:strCache>
            </c:strRef>
          </c:cat>
          <c:val>
            <c:numRef>
              <c:f>'Jeanre Credit Card '!$K$17:$U$17</c:f>
              <c:numCache>
                <c:formatCode>_("R"* #,##0.00_);_("R"* \(#,##0.00\);_("R"* "-"??_);_(@_)</c:formatCode>
                <c:ptCount val="9"/>
                <c:pt idx="0">
                  <c:v>-8679.7232499999991</c:v>
                </c:pt>
                <c:pt idx="1">
                  <c:v>-8001.7033722812494</c:v>
                </c:pt>
                <c:pt idx="2">
                  <c:v>-7011.7333942177065</c:v>
                </c:pt>
                <c:pt idx="3">
                  <c:v>-6004.3151952907938</c:v>
                </c:pt>
                <c:pt idx="4">
                  <c:v>-4979.1412506077941</c:v>
                </c:pt>
                <c:pt idx="5">
                  <c:v>-3935.8986151497566</c:v>
                </c:pt>
                <c:pt idx="6">
                  <c:v>-2874.2688282417712</c:v>
                </c:pt>
                <c:pt idx="7">
                  <c:v>-1793.9278163395325</c:v>
                </c:pt>
                <c:pt idx="8">
                  <c:v>-694.54579410251677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904F-A062-6641B220E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0079"/>
        <c:axId val="328521727"/>
      </c:lineChart>
      <c:catAx>
        <c:axId val="4110079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8521727"/>
        <c:crosses val="autoZero"/>
        <c:auto val="1"/>
        <c:lblAlgn val="ctr"/>
        <c:lblOffset val="100"/>
        <c:noMultiLvlLbl val="0"/>
      </c:catAx>
      <c:valAx>
        <c:axId val="32852172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&quot;* #,##0.00_);_(&quot;R&quot;* \(#,##0.00\);_(&quot;R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0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22</xdr:row>
      <xdr:rowOff>50800</xdr:rowOff>
    </xdr:from>
    <xdr:to>
      <xdr:col>37</xdr:col>
      <xdr:colOff>609600</xdr:colOff>
      <xdr:row>69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A8A483-D8F2-6D4C-870B-07E362301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23</xdr:row>
      <xdr:rowOff>50800</xdr:rowOff>
    </xdr:from>
    <xdr:to>
      <xdr:col>18</xdr:col>
      <xdr:colOff>444500</xdr:colOff>
      <xdr:row>57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EB317A-4C2F-4B4F-2A80-7E82E8D72B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8AF483-6833-C345-BA9D-0EF06231DA67}" name="jtrn" displayName="jtrn" ref="A1:V41" totalsRowCount="1" headerRowDxfId="350" dataDxfId="349">
  <autoFilter ref="A1:V40" xr:uid="{168AF483-6833-C345-BA9D-0EF06231DA67}"/>
  <tableColumns count="22">
    <tableColumn id="1" xr3:uid="{53007CBC-089F-9844-888D-4AFD025D21A4}" name="Movement" totalsRowLabel="Subtotal" dataDxfId="348" totalsRowDxfId="347"/>
    <tableColumn id="2" xr3:uid="{E7670F3E-FFC8-B44C-B726-CCCD0DDE580C}" name="Account Secondary" totalsRowLabel="Jeanre Transactional" dataDxfId="346" totalsRowDxfId="345"/>
    <tableColumn id="3" xr3:uid="{BC34C8F0-D5A8-A942-ACF9-3833C647F3AA}" name="2024-05-01" totalsRowFunction="custom" dataDxfId="344" totalsRowDxfId="343">
      <totalsRowFormula>SUMIF('Jeanre Transactional'!$A$2:$A$41,"Credit", 'Jeanre Transactional'!$C$2:$C$41)-SUMIF('Jeanre Transactional'!$A$2:$A$41,"Debit", 'Jeanre Transactional'!$C$2:$C$41)</totalsRowFormula>
    </tableColumn>
    <tableColumn id="4" xr3:uid="{12E99681-3EF3-154C-81F1-3C68ABFA379F}" name="2024-06-01" totalsRowFunction="custom" dataDxfId="342" totalsRowDxfId="341">
      <totalsRowFormula>SUMIF('Jeanre Transactional'!$A$2:$A$41,"Credit", 'Jeanre Transactional'!$D$2:$D$41)-SUMIF('Jeanre Transactional'!$A$2:$A$41,"Debit", 'Jeanre Transactional'!$D$2:$D$41)</totalsRowFormula>
    </tableColumn>
    <tableColumn id="5" xr3:uid="{F853A505-CD2D-424A-AB56-7C307ACC3B35}" name="2024-07-01" totalsRowFunction="custom" dataDxfId="340" totalsRowDxfId="339">
      <totalsRowFormula>SUMIF('Jeanre Transactional'!$A$2:$A$41,"Credit", 'Jeanre Transactional'!$E$2:$E$41)-SUMIF('Jeanre Transactional'!$A$2:$A$41,"Debit", 'Jeanre Transactional'!$E$2:$E$41)</totalsRowFormula>
    </tableColumn>
    <tableColumn id="6" xr3:uid="{7A5E017B-4309-9E43-8312-61D7567F2717}" name="2024-08-01" totalsRowFunction="custom" dataDxfId="338" totalsRowDxfId="337">
      <totalsRowFormula>SUMIF('Jeanre Transactional'!$A$2:$A$41,"Credit", 'Jeanre Transactional'!$F$2:$F$41)-SUMIF('Jeanre Transactional'!$A$2:$A$41,"Debit", 'Jeanre Transactional'!$F$2:$F$41)</totalsRowFormula>
    </tableColumn>
    <tableColumn id="7" xr3:uid="{35A69827-17E6-D747-80AA-A3903629E38D}" name="2024-09-01" totalsRowFunction="custom" dataDxfId="336" totalsRowDxfId="335">
      <totalsRowFormula>SUMIF('Jeanre Transactional'!$A$2:$A$41,"Credit", 'Jeanre Transactional'!$G$2:$G$41)-SUMIF('Jeanre Transactional'!$A$2:$A$41,"Debit", 'Jeanre Transactional'!$G$2:$G$41)</totalsRowFormula>
    </tableColumn>
    <tableColumn id="8" xr3:uid="{07201ECD-0600-9049-8CF3-536066F50B85}" name="2024-10-01" totalsRowFunction="custom" dataDxfId="334" totalsRowDxfId="333">
      <totalsRowFormula>SUMIF('Jeanre Transactional'!$A$2:$A$41,"Credit", 'Jeanre Transactional'!$H$2:$H$41)-SUMIF('Jeanre Transactional'!$A$2:$A$41,"Debit", 'Jeanre Transactional'!$H$2:$H$41)</totalsRowFormula>
    </tableColumn>
    <tableColumn id="9" xr3:uid="{95C89772-EB84-6148-A713-02DB6582171E}" name="2024-11-01" totalsRowFunction="custom" dataDxfId="332" totalsRowDxfId="331">
      <totalsRowFormula>SUMIF('Jeanre Transactional'!$A$2:$A$41,"Credit", 'Jeanre Transactional'!$I$2:$I$41)-SUMIF('Jeanre Transactional'!$A$2:$A$41,"Debit", 'Jeanre Transactional'!$I$2:$I$41)</totalsRowFormula>
    </tableColumn>
    <tableColumn id="10" xr3:uid="{78C2C3D1-00C3-B447-A15B-F22E336A2B58}" name="2024-12-01" totalsRowFunction="custom" dataDxfId="330" totalsRowDxfId="329">
      <totalsRowFormula>SUMIF('Jeanre Transactional'!$A$2:$A$41,"Credit", 'Jeanre Transactional'!$J$2:$J$41)-SUMIF('Jeanre Transactional'!$A$2:$A$41,"Debit", 'Jeanre Transactional'!$J$2:$J$41)</totalsRowFormula>
    </tableColumn>
    <tableColumn id="11" xr3:uid="{A6168F27-4891-0749-92DD-57A77D1DACAA}" name="2025-01-01" totalsRowFunction="custom" dataDxfId="328" totalsRowDxfId="327">
      <totalsRowFormula>SUMIF(jtrn[Movement], "Credit", jtrn[2025-01-01]) - SUMIF(jtrn[Movement], "Debit", jtrn[2025-01-01])</totalsRowFormula>
    </tableColumn>
    <tableColumn id="12" xr3:uid="{58BC0315-6C75-9548-B003-5335630C1315}" name="2025-02-01" totalsRowFunction="custom" dataDxfId="326" totalsRowDxfId="325">
      <totalsRowFormula>SUMIF(jtrn[Movement], "Credit", jtrn[2025-02-01]) - SUMIF(jtrn[Movement], "Debit", jtrn[2025-02-01])</totalsRowFormula>
    </tableColumn>
    <tableColumn id="13" xr3:uid="{896888D1-CC44-3042-B2FE-75BF30E0F183}" name="2025-03-01" totalsRowFunction="custom" dataDxfId="324" totalsRowDxfId="323">
      <totalsRowFormula>SUMIF(jtrn[Movement], "Credit", jtrn[2025-03-01]) - SUMIF(jtrn[Movement], "Debit", jtrn[2025-03-01])</totalsRowFormula>
    </tableColumn>
    <tableColumn id="14" xr3:uid="{1670E3CE-2F37-E048-813C-B7C337151740}" name="2025-04-01" totalsRowFunction="custom" dataDxfId="322" totalsRowDxfId="321">
      <totalsRowFormula>SUMIF(jtrn[Movement], "Credit", jtrn[2025-04-01]) - SUMIF(jtrn[Movement], "Debit", jtrn[2025-04-01])</totalsRowFormula>
    </tableColumn>
    <tableColumn id="15" xr3:uid="{6572C763-49E9-AA4F-9718-2BC9B7E57762}" name="2025-05-01" totalsRowFunction="custom" dataDxfId="320" totalsRowDxfId="319">
      <totalsRowFormula>SUMIF(jtrn[Movement], "Credit", jtrn[2025-05-01]) - SUMIF(jtrn[Movement], "Debit", jtrn[2025-05-01])</totalsRowFormula>
    </tableColumn>
    <tableColumn id="16" xr3:uid="{99AC582F-E016-EB4C-A534-6BAC5A7AD88A}" name="2025-06-01" totalsRowFunction="custom" dataDxfId="318" totalsRowDxfId="317">
      <totalsRowFormula>SUMIF(jtrn[Movement], "Credit", jtrn[2025-06-01]) - SUMIF(jtrn[Movement], "Debit", jtrn[2025-06-01])</totalsRowFormula>
    </tableColumn>
    <tableColumn id="17" xr3:uid="{2AFE4E94-A26F-1648-B078-CC1ACB60F61E}" name="2025-07-01" totalsRowFunction="custom" dataDxfId="316" totalsRowDxfId="315">
      <totalsRowFormula>SUMIF(jtrn[Movement], "Credit", jtrn[2025-07-01]) - SUMIF(jtrn[Movement], "Debit", jtrn[2025-07-01])</totalsRowFormula>
    </tableColumn>
    <tableColumn id="18" xr3:uid="{9169B43F-AE90-B84E-BB9B-3E2730E4B499}" name="2025-08-01" totalsRowFunction="custom" dataDxfId="314" totalsRowDxfId="313">
      <totalsRowFormula>SUMIF(jtrn[Movement], "Credit", jtrn[2025-08-01]) - SUMIF(jtrn[Movement], "Debit", jtrn[2025-08-01])</totalsRowFormula>
    </tableColumn>
    <tableColumn id="19" xr3:uid="{16A4B7C1-DCCD-BC42-80A2-5A9B0AFE62B7}" name="2025-09-01" totalsRowFunction="custom" dataDxfId="312" totalsRowDxfId="311">
      <totalsRowFormula>SUMIF(jtrn[Movement], "Credit", jtrn[2025-09-01]) - SUMIF(jtrn[Movement], "Debit", jtrn[2025-09-01])</totalsRowFormula>
    </tableColumn>
    <tableColumn id="20" xr3:uid="{DA0D9353-5004-BC49-A034-377720B302FE}" name="2025-10-01" totalsRowFunction="custom" dataDxfId="310" totalsRowDxfId="309">
      <totalsRowFormula>SUMIF(jtrn[Movement], "Credit", jtrn[2025-10-01]) - SUMIF(jtrn[Movement], "Debit", jtrn[2025-10-01])</totalsRowFormula>
    </tableColumn>
    <tableColumn id="21" xr3:uid="{2CAF52BB-84EF-4B4E-9560-96A6E500A093}" name="2025-11-01" totalsRowFunction="custom" dataDxfId="308" totalsRowDxfId="307">
      <totalsRowFormula>SUMIF(jtrn[Movement], "Credit", jtrn[2025-11-01]) - SUMIF(jtrn[Movement], "Debit", jtrn[2025-11-01])</totalsRowFormula>
    </tableColumn>
    <tableColumn id="22" xr3:uid="{2627D4F2-2727-3545-907E-0FB0C0AA352F}" name="2025-12-01" totalsRowFunction="custom" dataDxfId="306" totalsRowDxfId="305">
      <totalsRowFormula>SUMIF(jtrn[Movement], "Credit", jtrn[2025-12-01]) - SUMIF(jtrn[Movement], "Debit", jtrn[2025-12-01])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btrn" displayName="btrn" ref="A1:W15" totalsRowShown="0" headerRowDxfId="304" dataDxfId="303">
  <autoFilter ref="A1:W15" xr:uid="{92565AF6-51CB-F740-ACD0-AD376C5F8FE0}"/>
  <tableColumns count="23">
    <tableColumn id="5" xr3:uid="{0BB631CD-7A04-8A42-B7DB-927BAF556EEE}" name="Movement" dataDxfId="302"/>
    <tableColumn id="6" xr3:uid="{F2B17D4B-E397-234D-B50E-5D377954B9CE}" name="Account Secondary" dataDxfId="301"/>
    <tableColumn id="7" xr3:uid="{224B2C86-CE9C-9740-8863-A79E9BA6474C}" name="2024-05-01" dataDxfId="300"/>
    <tableColumn id="8" xr3:uid="{86C20A53-81CA-5C44-94E5-DFEF4FEBDB46}" name="2024-06-01" dataDxfId="299"/>
    <tableColumn id="9" xr3:uid="{7A5EB71F-2A37-D94A-A511-CB581024F945}" name="2024-07-01" dataDxfId="298"/>
    <tableColumn id="10" xr3:uid="{4323FC88-E3C5-C942-A248-8725F58D05F1}" name="2024-08-01" dataDxfId="297"/>
    <tableColumn id="11" xr3:uid="{A67EE3D4-5BA4-CB4C-A243-EC07A75B9A2A}" name="2024-09-01" dataDxfId="296"/>
    <tableColumn id="12" xr3:uid="{D8311E55-3FCF-5646-9D4B-8E41AACE8122}" name="2024-10-01" dataDxfId="295"/>
    <tableColumn id="13" xr3:uid="{1068DD40-0163-AB4F-BD01-F087C1DA52FC}" name="2024-11-01" dataDxfId="294"/>
    <tableColumn id="14" xr3:uid="{1979ACD9-F9BF-B64F-8FAE-C5E1FD6DB39A}" name="2024-12-01" dataDxfId="293"/>
    <tableColumn id="1" xr3:uid="{07FFDC36-868C-D84B-8B40-7B280F43AA14}" name="2024-12-02" dataDxfId="292"/>
    <tableColumn id="2" xr3:uid="{54F50DA7-EDB6-3948-A0E4-EC5A8F72945C}" name="2025-01-01" dataDxfId="291"/>
    <tableColumn id="3" xr3:uid="{A94164EE-6277-BE48-B1FD-04E5D617461D}" name="2025-02-01" dataDxfId="290">
      <calculatedColumnFormula>SUMIF(jtrn[Movement], "Credit", jtrn[2025-02-01]) - SUMIF(jtrn[Movement], "Debit", jtrn[2025-02-01])</calculatedColumnFormula>
    </tableColumn>
    <tableColumn id="4" xr3:uid="{9338D36B-9D27-FC42-9CAC-0879E31F6B28}" name="2025-03-01" dataDxfId="289">
      <calculatedColumnFormula>SUMIF(jtrn[Movement], "Credit", jtrn[2025-03-01]) - SUMIF(jtrn[Movement], "Debit", jtrn[2025-03-01])</calculatedColumnFormula>
    </tableColumn>
    <tableColumn id="15" xr3:uid="{E058B1E3-B047-6D4C-8B10-24D98EC04D3F}" name="2025-04-01" dataDxfId="288">
      <calculatedColumnFormula>SUMIF(jtrn[Movement], "Credit", jtrn[2025-04-01]) - SUMIF(jtrn[Movement], "Debit", jtrn[2025-04-01])</calculatedColumnFormula>
    </tableColumn>
    <tableColumn id="16" xr3:uid="{02C57D3A-4C31-D248-A43C-FFA66BEF6678}" name="2025-05-01" dataDxfId="287">
      <calculatedColumnFormula>SUMIF(jtrn[Movement], "Credit", jtrn[2025-05-01]) - SUMIF(jtrn[Movement], "Debit", jtrn[2025-05-01])</calculatedColumnFormula>
    </tableColumn>
    <tableColumn id="17" xr3:uid="{787374D9-13F7-F34F-9D9D-D54BB8321633}" name="2025-06-01" dataDxfId="286">
      <calculatedColumnFormula>SUMIF(jtrn[Movement], "Credit", jtrn[2025-06-01]) - SUMIF(jtrn[Movement], "Debit", jtrn[2025-06-01])</calculatedColumnFormula>
    </tableColumn>
    <tableColumn id="18" xr3:uid="{93C8DE5A-871E-1446-8055-3D076D950934}" name="2025-07-01" dataDxfId="285">
      <calculatedColumnFormula>SUMIF(jtrn[Movement], "Credit", jtrn[2025-07-01]) - SUMIF(jtrn[Movement], "Debit", jtrn[2025-07-01])</calculatedColumnFormula>
    </tableColumn>
    <tableColumn id="19" xr3:uid="{07B050AF-799F-8C48-A7EA-53782435ED9F}" name="2025-08-01" dataDxfId="284">
      <calculatedColumnFormula>SUMIF(jtrn[Movement], "Credit", jtrn[2025-08-01]) - SUMIF(jtrn[Movement], "Debit", jtrn[2025-08-01])</calculatedColumnFormula>
    </tableColumn>
    <tableColumn id="20" xr3:uid="{8521E811-8D35-0C4A-ABDB-CA53ACA44FA3}" name="2025-09-01" dataDxfId="283">
      <calculatedColumnFormula>SUMIF(jtrn[Movement], "Credit", jtrn[2025-09-01]) - SUMIF(jtrn[Movement], "Debit", jtrn[2025-09-01])</calculatedColumnFormula>
    </tableColumn>
    <tableColumn id="21" xr3:uid="{39EFC671-FB35-2545-8336-803CB1988B5A}" name="2025-10-01" dataDxfId="282">
      <calculatedColumnFormula>SUMIF(jtrn[Movement], "Credit", jtrn[2025-10-01]) - SUMIF(jtrn[Movement], "Debit", jtrn[2025-10-01])</calculatedColumnFormula>
    </tableColumn>
    <tableColumn id="22" xr3:uid="{AD4A180E-DEAF-2843-A15D-320A2784C85B}" name="2025-11-01" dataDxfId="281">
      <calculatedColumnFormula>SUMIF(jtrn[Movement], "Credit", jtrn[2025-11-01]) - SUMIF(jtrn[Movement], "Debit", jtrn[2025-11-01])</calculatedColumnFormula>
    </tableColumn>
    <tableColumn id="23" xr3:uid="{84D7EAF0-D06E-714F-80F6-F552BFE7C2CF}" name="2025-12-01" dataDxfId="280">
      <calculatedColumnFormula>SUMIF(jtrn[Movement], "Credit", jtrn[2025-12-01]) - SUMIF(jtrn[Movement], "Debit", jtrn[2025-12-01])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388CD99-70C3-254E-A54F-AB7C92761CB1}" name="bcc_1" displayName="bcc_1" ref="A7:U17" totalsRowShown="0" headerRowDxfId="279" dataDxfId="278">
  <autoFilter ref="A7:U17" xr:uid="{D9073226-BE95-ED4B-8E84-34502A072542}"/>
  <tableColumns count="21">
    <tableColumn id="5" xr3:uid="{17B37E57-BD6E-A446-B335-98FD8C0146DD}" name="Movement" dataDxfId="277"/>
    <tableColumn id="6" xr3:uid="{8887D7EE-29BC-B44E-ADF3-2437568B639A}" name="Account Secondary" dataDxfId="276"/>
    <tableColumn id="7" xr3:uid="{F3A1989B-6B6F-5844-98BC-B10EC82D9F78}" name="2024-05-01" dataDxfId="275"/>
    <tableColumn id="8" xr3:uid="{D1A2498E-31D2-6F4B-8CC9-2FAF1EB36A71}" name="2024-06-01" dataDxfId="274"/>
    <tableColumn id="9" xr3:uid="{3D14BF31-F312-4947-B1E8-8AE36A684702}" name="2024-07-01" dataDxfId="273"/>
    <tableColumn id="10" xr3:uid="{A4D70372-DBB7-F84D-BA93-508333385EB7}" name="2024-08-01" dataDxfId="272"/>
    <tableColumn id="11" xr3:uid="{763B8A44-B1AA-8A48-928B-A09543E1729F}" name="2024-09-01" dataDxfId="271"/>
    <tableColumn id="12" xr3:uid="{3B32E0FE-85F4-2A41-B1F1-DB877926368D}" name="2024-10-01" dataDxfId="270"/>
    <tableColumn id="13" xr3:uid="{D9622311-D9B6-324C-BE06-420DFE21B4F1}" name="2024-11-01" dataDxfId="269"/>
    <tableColumn id="14" xr3:uid="{8F67EECA-9106-FA44-B867-D5B8A01FF39D}" name="2024-12-01" dataDxfId="268"/>
    <tableColumn id="1" xr3:uid="{B3F1DD99-4E8F-754A-9084-089C8310F54E}" name="2025-02-01" dataDxfId="267">
      <calculatedColumnFormula>SUMIF(btrn[Movement], "Credit", btrn[2025-02-01]) - SUMIF(btrn[Movement], "Debit", btrn[2025-02-01])</calculatedColumnFormula>
    </tableColumn>
    <tableColumn id="2" xr3:uid="{52FD6552-5D6C-024E-A120-FA04DC9C353C}" name="2025-03-01" dataDxfId="266">
      <calculatedColumnFormula>SUMIF(btrn[Movement], "Credit", btrn[2025-03-01]) - SUMIF(btrn[Movement], "Debit", btrn[2025-03-01])</calculatedColumnFormula>
    </tableColumn>
    <tableColumn id="3" xr3:uid="{21FC5584-263B-A842-B376-F56607FD1313}" name="2025-04-01" dataDxfId="265">
      <calculatedColumnFormula>SUMIF(btrn[Movement], "Credit", btrn[2025-04-01]) - SUMIF(btrn[Movement], "Debit", btrn[2025-04-01])</calculatedColumnFormula>
    </tableColumn>
    <tableColumn id="4" xr3:uid="{2A585DF9-052E-154A-81C7-C464CE48ABC6}" name="2025-05-01" dataDxfId="264">
      <calculatedColumnFormula>SUMIF(btrn[Movement], "Credit", btrn[2025-05-01]) - SUMIF(btrn[Movement], "Debit", btrn[2025-05-01])</calculatedColumnFormula>
    </tableColumn>
    <tableColumn id="15" xr3:uid="{02AF2FD0-EFCF-F34C-A7D7-FE50242DCB03}" name="2025-06-01" dataDxfId="263">
      <calculatedColumnFormula>SUMIF(btrn[Movement], "Credit", btrn[2025-06-01]) - SUMIF(btrn[Movement], "Debit", btrn[2025-06-01])</calculatedColumnFormula>
    </tableColumn>
    <tableColumn id="16" xr3:uid="{68DB76E9-3494-6049-9217-4E2A6B06F6AC}" name="2025-07-01" dataDxfId="262">
      <calculatedColumnFormula>SUMIF(btrn[Movement], "Credit", btrn[2025-07-01]) - SUMIF(btrn[Movement], "Debit", btrn[2025-07-01])</calculatedColumnFormula>
    </tableColumn>
    <tableColumn id="17" xr3:uid="{CEEE0D7F-8429-034A-BFA6-757B425089B2}" name="2025-08-01" dataDxfId="261">
      <calculatedColumnFormula>SUMIF(btrn[Movement], "Credit", btrn[2025-08-01]) - SUMIF(btrn[Movement], "Debit", btrn[2025-08-01])</calculatedColumnFormula>
    </tableColumn>
    <tableColumn id="18" xr3:uid="{EDC215EE-3B90-FE41-8C6C-BB27027C9D93}" name="2025-09-01" dataDxfId="260">
      <calculatedColumnFormula>SUMIF(btrn[Movement], "Credit", btrn[2025-09-01]) - SUMIF(btrn[Movement], "Debit", btrn[2025-09-01])</calculatedColumnFormula>
    </tableColumn>
    <tableColumn id="19" xr3:uid="{0A2D72F1-0E51-264D-814C-165426075152}" name="2025-10-01" dataDxfId="259">
      <calculatedColumnFormula>SUMIF(btrn[Movement], "Credit", btrn[2025-10-01]) - SUMIF(btrn[Movement], "Debit", btrn[2025-10-01])</calculatedColumnFormula>
    </tableColumn>
    <tableColumn id="20" xr3:uid="{7C09C66F-7AE3-5141-B9E5-A38D3422884C}" name="2025-11-01" dataDxfId="258">
      <calculatedColumnFormula>SUMIF(btrn[Movement], "Credit", btrn[2025-11-01]) - SUMIF(btrn[Movement], "Debit", btrn[2025-11-01])</calculatedColumnFormula>
    </tableColumn>
    <tableColumn id="21" xr3:uid="{1C92AE3F-5112-1743-AD92-F855CF92B377}" name="2025-12-01" dataDxfId="257">
      <calculatedColumnFormula>SUMIF(btrn[Movement], "Credit", btrn[2025-12-01]) - SUMIF(btrn[Movement], "Debit", btrn[2025-12-01])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A0B269-DF27-C541-AED0-8A1AFAEABB7B}" name="Table1114" displayName="Table1114" ref="A1:B3" totalsRowShown="0">
  <autoFilter ref="A1:B3" xr:uid="{929261B4-E0D1-DD4F-A316-416BC51ACF85}"/>
  <tableColumns count="2">
    <tableColumn id="1" xr3:uid="{654F43D1-FB9F-7F42-B280-B633D21F72A7}" name="Item"/>
    <tableColumn id="2" xr3:uid="{FFE04A71-6C69-CE4E-9011-5B016DB4B1A7}" name="Amount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D457AD0-1A6F-6C4B-8C3B-79F35A70DD4C}" name="jcc" displayName="jcc" ref="A7:U18" totalsRowShown="0" headerRowDxfId="256" dataDxfId="255">
  <autoFilter ref="A7:U18" xr:uid="{D9073226-BE95-ED4B-8E84-34502A072542}"/>
  <tableColumns count="21">
    <tableColumn id="5" xr3:uid="{0BF52067-01F0-AA4D-BB5B-B7B91C21DF1D}" name="Movement" dataDxfId="254"/>
    <tableColumn id="6" xr3:uid="{36848A5A-BD66-3B45-88C5-0F107DFD726E}" name="Account Secondary" dataDxfId="253"/>
    <tableColumn id="7" xr3:uid="{0566D0C5-7A1B-AB49-BABA-EF21A39F77BF}" name="2024-05-01" dataDxfId="252"/>
    <tableColumn id="8" xr3:uid="{16E09DC6-7066-774D-99EC-EA21637DF674}" name="2024-06-01" dataDxfId="251"/>
    <tableColumn id="9" xr3:uid="{3611A2ED-99A6-5143-B58A-9F4DB380E0BA}" name="2024-07-01" dataDxfId="250"/>
    <tableColumn id="10" xr3:uid="{2031F46C-4622-0443-A395-6FF8FE447E72}" name="2024-08-01" dataDxfId="249"/>
    <tableColumn id="11" xr3:uid="{FEB4CC54-8E2A-BF4A-9884-6420E04791B3}" name="2024-09-01" dataDxfId="248"/>
    <tableColumn id="12" xr3:uid="{C3B762B3-FA38-0A44-AC43-0B870226B58E}" name="2024-10-01" dataDxfId="247"/>
    <tableColumn id="13" xr3:uid="{DE86A732-69A5-3D44-9686-5DECDA067D97}" name="2024-11-01" dataDxfId="246"/>
    <tableColumn id="14" xr3:uid="{5611825D-4F3B-744B-8551-E1E303B6E2A9}" name="2024-12-01" dataDxfId="245"/>
    <tableColumn id="1" xr3:uid="{B56DD893-6543-9946-A7BA-672E047EF200}" name="2025-02-01" dataDxfId="244">
      <calculatedColumnFormula>SUMIF(btrn[Movement], "Credit", btrn[2025-02-01]) - SUMIF(btrn[Movement], "Debit", btrn[2025-02-01])</calculatedColumnFormula>
    </tableColumn>
    <tableColumn id="2" xr3:uid="{3A799F2C-5CA0-584C-8D92-D8826E06E46C}" name="2025-03-01" dataDxfId="243">
      <calculatedColumnFormula>SUMIF(btrn[Movement], "Credit", btrn[2025-03-01]) - SUMIF(btrn[Movement], "Debit", btrn[2025-03-01])</calculatedColumnFormula>
    </tableColumn>
    <tableColumn id="3" xr3:uid="{B19F0E78-551C-8A41-9B1F-EC46C8C85ABA}" name="01/04/2025" dataDxfId="242">
      <calculatedColumnFormula>SUMIF(btrn[Movement], "Credit", btrn[2025-04-01]) - SUMIF(btrn[Movement], "Debit", btrn[2025-04-01])</calculatedColumnFormula>
    </tableColumn>
    <tableColumn id="4" xr3:uid="{53F37C4F-F4B6-ED4E-ADE0-DDE9966E9521}" name="2025-05-01" dataDxfId="241">
      <calculatedColumnFormula>SUMIF(btrn[Movement], "Credit", btrn[2025-05-01]) - SUMIF(btrn[Movement], "Debit", btrn[2025-05-01])</calculatedColumnFormula>
    </tableColumn>
    <tableColumn id="15" xr3:uid="{6F72EB0F-159A-EA45-ADB0-713265371A7A}" name="2025-06-01" dataDxfId="240">
      <calculatedColumnFormula>SUMIF(btrn[Movement], "Credit", btrn[2025-06-01]) - SUMIF(btrn[Movement], "Debit", btrn[2025-06-01])</calculatedColumnFormula>
    </tableColumn>
    <tableColumn id="16" xr3:uid="{45E288DA-5974-1443-B4F0-3F015AFF664A}" name="2025-07-01" dataDxfId="239">
      <calculatedColumnFormula>SUMIF(btrn[Movement], "Credit", btrn[2025-07-01]) - SUMIF(btrn[Movement], "Debit", btrn[2025-07-01])</calculatedColumnFormula>
    </tableColumn>
    <tableColumn id="17" xr3:uid="{0FC86696-ABEB-4C48-80D5-A1FE7150A7E7}" name="2025-08-01" dataDxfId="238">
      <calculatedColumnFormula>SUMIF(btrn[Movement], "Credit", btrn[2025-08-01]) - SUMIF(btrn[Movement], "Debit", btrn[2025-08-01])</calculatedColumnFormula>
    </tableColumn>
    <tableColumn id="18" xr3:uid="{A3237D9B-3536-B94C-AA2C-54D1374DA12A}" name="2025-09-01" dataDxfId="237">
      <calculatedColumnFormula>SUMIF(btrn[Movement], "Credit", btrn[2025-09-01]) - SUMIF(btrn[Movement], "Debit", btrn[2025-09-01])</calculatedColumnFormula>
    </tableColumn>
    <tableColumn id="19" xr3:uid="{0321D6CE-0B18-4442-89FB-36BE669C2816}" name="2025-10-01" dataDxfId="236">
      <calculatedColumnFormula>SUMIF(btrn[Movement], "Credit", btrn[2025-10-01]) - SUMIF(btrn[Movement], "Debit", btrn[2025-10-01])</calculatedColumnFormula>
    </tableColumn>
    <tableColumn id="20" xr3:uid="{B24D6554-72D6-4A44-AF59-7CB7561F6D75}" name="2025-11-01" dataDxfId="235">
      <calculatedColumnFormula>SUMIF(btrn[Movement], "Credit", btrn[2025-11-01]) - SUMIF(btrn[Movement], "Debit", btrn[2025-11-01])</calculatedColumnFormula>
    </tableColumn>
    <tableColumn id="21" xr3:uid="{3DD65539-7D4C-8E46-9466-06EF8CEC4FE7}" name="2025-12-01" dataDxfId="234">
      <calculatedColumnFormula>SUMIF(btrn[Movement], "Credit", btrn[2025-12-01]) - SUMIF(btrn[Movement], "Debit", btrn[2025-12-01])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9261B4-E0D1-DD4F-A316-416BC51ACF85}" name="Table11" displayName="Table11" ref="A1:B3" totalsRowShown="0">
  <autoFilter ref="A1:B3" xr:uid="{929261B4-E0D1-DD4F-A316-416BC51ACF85}"/>
  <tableColumns count="2">
    <tableColumn id="1" xr3:uid="{B1ECFF61-3406-8B42-83E4-2A30F9CAF88D}" name="Item"/>
    <tableColumn id="2" xr3:uid="{C7D3212A-9284-2A41-B99E-D9598F882749}" name="Amount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C7DEE0-5914-5B41-AB45-797048463850}" name="btrn2" displayName="btrn2" ref="A1:W15" totalsRowShown="0" headerRowDxfId="233" dataDxfId="232">
  <autoFilter ref="A1:W15" xr:uid="{92565AF6-51CB-F740-ACD0-AD376C5F8FE0}"/>
  <tableColumns count="23">
    <tableColumn id="5" xr3:uid="{D33F6C1A-4ABA-D64B-8CC5-20B3EB1BD64E}" name="Movement" dataDxfId="231"/>
    <tableColumn id="6" xr3:uid="{CA0268E9-369B-0748-8C4A-0985AB48F7AD}" name="Account Secondary" dataDxfId="230"/>
    <tableColumn id="7" xr3:uid="{3DB0FEC0-C102-4F4A-9C5F-E1032D9C6EB2}" name="2024-05-01" dataDxfId="229"/>
    <tableColumn id="8" xr3:uid="{234C816A-C90F-534A-893E-3B15D47CCB47}" name="2024-06-01" dataDxfId="228"/>
    <tableColumn id="9" xr3:uid="{8B5E6B53-2E94-0F49-B832-211BE30F7ECF}" name="2024-07-01" dataDxfId="227"/>
    <tableColumn id="10" xr3:uid="{B910E4F7-4544-9349-B0DA-9F053A628167}" name="2024-08-01" dataDxfId="226"/>
    <tableColumn id="11" xr3:uid="{4D1E6E72-1349-E348-A6E6-8C27645FA227}" name="2024-09-01" dataDxfId="225"/>
    <tableColumn id="12" xr3:uid="{A6C70979-BD70-6845-A0A5-6E94AC33FF17}" name="2024-10-01" dataDxfId="224"/>
    <tableColumn id="13" xr3:uid="{0C82224D-E320-8043-BC8F-F282325C1013}" name="2024-11-01" dataDxfId="223"/>
    <tableColumn id="14" xr3:uid="{AF3743C3-0C78-3744-B90A-0D9BB603C133}" name="2024-12-01" dataDxfId="222"/>
    <tableColumn id="1" xr3:uid="{DE3E6EC3-9E5E-A849-89E1-569B803E838B}" name="2024-12-02" dataDxfId="221"/>
    <tableColumn id="2" xr3:uid="{7F9DFEA7-18FE-A646-9E2C-033D58C80964}" name="2025-01-01" dataDxfId="220"/>
    <tableColumn id="3" xr3:uid="{E32BF2DA-AE63-0642-A3E6-6F5D77C78003}" name="2025-02-01" dataDxfId="219">
      <calculatedColumnFormula>SUMIF(jtrn[Movement], "Credit", jtrn[2025-02-01]) - SUMIF(jtrn[Movement], "Debit", jtrn[2025-02-01])</calculatedColumnFormula>
    </tableColumn>
    <tableColumn id="4" xr3:uid="{9668DF64-9329-EB4D-88AF-C4C11AEFA881}" name="2025-03-01" dataDxfId="218">
      <calculatedColumnFormula>SUMIF(jtrn[Movement], "Credit", jtrn[2025-03-01]) - SUMIF(jtrn[Movement], "Debit", jtrn[2025-03-01])</calculatedColumnFormula>
    </tableColumn>
    <tableColumn id="15" xr3:uid="{AC9D8EBB-1E6D-8D45-BA53-662F114CF287}" name="2025-04-01" dataDxfId="217">
      <calculatedColumnFormula>SUMIF(jtrn[Movement], "Credit", jtrn[2025-04-01]) - SUMIF(jtrn[Movement], "Debit", jtrn[2025-04-01])</calculatedColumnFormula>
    </tableColumn>
    <tableColumn id="16" xr3:uid="{69F180C3-BD96-1243-AB88-732BE97089D5}" name="2025-05-01" dataDxfId="216">
      <calculatedColumnFormula>SUMIF(jtrn[Movement], "Credit", jtrn[2025-05-01]) - SUMIF(jtrn[Movement], "Debit", jtrn[2025-05-01])</calculatedColumnFormula>
    </tableColumn>
    <tableColumn id="17" xr3:uid="{E97FF196-A5E9-8C4E-8A65-3F387CE57761}" name="2025-06-01" dataDxfId="215">
      <calculatedColumnFormula>SUMIF(jtrn[Movement], "Credit", jtrn[2025-06-01]) - SUMIF(jtrn[Movement], "Debit", jtrn[2025-06-01])</calculatedColumnFormula>
    </tableColumn>
    <tableColumn id="18" xr3:uid="{F2975AC6-2C06-244F-A890-F63B6DE28501}" name="2025-07-01" dataDxfId="214">
      <calculatedColumnFormula>SUMIF(jtrn[Movement], "Credit", jtrn[2025-07-01]) - SUMIF(jtrn[Movement], "Debit", jtrn[2025-07-01])</calculatedColumnFormula>
    </tableColumn>
    <tableColumn id="19" xr3:uid="{7B230F9E-FC84-AE47-8BDC-1B32A6024515}" name="2025-08-01" dataDxfId="213">
      <calculatedColumnFormula>SUMIF(jtrn[Movement], "Credit", jtrn[2025-08-01]) - SUMIF(jtrn[Movement], "Debit", jtrn[2025-08-01])</calculatedColumnFormula>
    </tableColumn>
    <tableColumn id="20" xr3:uid="{FE791287-213F-5A4D-A74A-E0C6E449C580}" name="2025-09-01" dataDxfId="212">
      <calculatedColumnFormula>SUMIF(jtrn[Movement], "Credit", jtrn[2025-09-01]) - SUMIF(jtrn[Movement], "Debit", jtrn[2025-09-01])</calculatedColumnFormula>
    </tableColumn>
    <tableColumn id="21" xr3:uid="{8422D76D-269A-A942-BC40-7DDEA2715052}" name="2025-10-01" dataDxfId="211">
      <calculatedColumnFormula>SUMIF(jtrn[Movement], "Credit", jtrn[2025-10-01]) - SUMIF(jtrn[Movement], "Debit", jtrn[2025-10-01])</calculatedColumnFormula>
    </tableColumn>
    <tableColumn id="22" xr3:uid="{8C0FAC61-136E-5543-8D5D-D5C0ED43CA2C}" name="2025-11-01" dataDxfId="210">
      <calculatedColumnFormula>SUMIF(jtrn[Movement], "Credit", jtrn[2025-11-01]) - SUMIF(jtrn[Movement], "Debit", jtrn[2025-11-01])</calculatedColumnFormula>
    </tableColumn>
    <tableColumn id="23" xr3:uid="{F0B2E2DC-15E4-EF49-AA37-03E6B876C5E4}" name="2025-12-01" dataDxfId="209">
      <calculatedColumnFormula>SUMIF(jtrn[Movement], "Credit", jtrn[2025-12-01]) - SUMIF(jtrn[Movement], "Debit", jtrn[2025-12-01])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208" dataDxfId="207">
  <autoFilter ref="A1:AH3" xr:uid="{92565AF6-51CB-F740-ACD0-AD376C5F8FE0}"/>
  <tableColumns count="34">
    <tableColumn id="1" xr3:uid="{48C7FEF4-77BD-9541-BE84-1814C3078641}" name="Movement" totalsRowLabel="Subtotal" dataDxfId="206" totalsRowDxfId="205"/>
    <tableColumn id="6" xr3:uid="{8363580B-2FC4-DF47-8BAB-B104EA5DEB86}" name="Account Secondary" totalsRowLabel="Home Loan" dataDxfId="204" totalsRowDxfId="203"/>
    <tableColumn id="7" xr3:uid="{361D3CD3-A32A-B64C-A7D7-E6E15865CDC7}" name="2024-05-01" totalsRowFunction="custom" dataDxfId="202" totalsRowDxfId="201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200" totalsRowDxfId="199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98" totalsRowDxfId="197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96" totalsRowDxfId="195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94" totalsRowDxfId="193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92" totalsRowDxfId="191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90" totalsRowDxfId="189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88" totalsRowDxfId="187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86" totalsRowDxfId="185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84" totalsRowDxfId="183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82" totalsRowDxfId="181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80" totalsRowDxfId="179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78" totalsRowDxfId="177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76" totalsRowDxfId="175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74" totalsRowDxfId="173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72" totalsRowDxfId="171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70" totalsRowDxfId="169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68" totalsRowDxfId="167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66" totalsRowDxfId="165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64" totalsRowDxfId="163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62" totalsRowDxfId="161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60" totalsRowDxfId="159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58" totalsRowDxfId="157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56" totalsRowDxfId="155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54" totalsRowDxfId="153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52" totalsRowDxfId="151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50" totalsRowDxfId="149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48" totalsRowDxfId="147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46" totalsRowDxfId="145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44" totalsRowDxfId="143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42" totalsRowDxfId="141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40" totalsRowDxfId="139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9" totalsRowCount="1" headerRowDxfId="138" dataDxfId="137">
  <autoFilter ref="A1:AH8" xr:uid="{92565AF6-51CB-F740-ACD0-AD376C5F8FE0}"/>
  <tableColumns count="34">
    <tableColumn id="1" xr3:uid="{132F1BF4-3588-8A4B-8F98-DB76AAE601DC}" name="Movement" totalsRowLabel="Subtotal" dataDxfId="136" totalsRowDxfId="135"/>
    <tableColumn id="6" xr3:uid="{81ACCF9B-B060-EC46-8372-B215BC3E24E6}" name="Account Secondary" totalsRowLabel="Jodine U" dataDxfId="134" totalsRowDxfId="133"/>
    <tableColumn id="7" xr3:uid="{984BE13D-B3F0-4141-8171-AF453C2EDE3E}" name="2024-05-01" totalsRowFunction="custom" dataDxfId="132" totalsRowDxfId="131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130" totalsRowDxfId="129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128" totalsRowDxfId="127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126" totalsRowDxfId="125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124" totalsRowDxfId="123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122" totalsRowDxfId="121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120" totalsRowDxfId="119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118" totalsRowDxfId="117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116" totalsRowDxfId="115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114" totalsRowDxfId="113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112" totalsRowDxfId="111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110" totalsRowDxfId="109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108" totalsRowDxfId="107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106" totalsRowDxfId="105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104" totalsRowDxfId="103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102" totalsRowDxfId="101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100" totalsRowDxfId="99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98" totalsRowDxfId="97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96" totalsRowDxfId="95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94" totalsRowDxfId="93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92" totalsRowDxfId="91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90" totalsRowDxfId="89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88" totalsRowDxfId="87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86" totalsRowDxfId="85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84" totalsRowDxfId="83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82" totalsRowDxfId="81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80" totalsRowDxfId="79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78" totalsRowDxfId="77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76" totalsRowDxfId="75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74" totalsRowDxfId="73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72" totalsRowDxfId="71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70" totalsRowDxfId="69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68" tableBorderDxfId="67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66" dataDxfId="65">
  <autoFilter ref="A1:J8" xr:uid="{92565AF6-51CB-F740-ACD0-AD376C5F8FE0}"/>
  <tableColumns count="10">
    <tableColumn id="5" xr3:uid="{06CF438D-1451-314D-9C7A-32F80F032CDD}" name="Movement" totalsRowLabel="Subtotal" dataDxfId="64" totalsRowDxfId="63"/>
    <tableColumn id="6" xr3:uid="{D85B60B0-DD6D-9B4D-A4AD-5C8378063533}" name="Account Secondary" totalsRowLabel="Personal Wealth" dataDxfId="62" totalsRowDxfId="61"/>
    <tableColumn id="7" xr3:uid="{1DFF1C23-E2EA-B34F-AE16-2538AE6684FC}" name="2024-05-01" totalsRowFunction="custom" dataDxfId="60" totalsRowDxfId="59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58" totalsRowDxfId="57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56" totalsRowDxfId="55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54" totalsRowDxfId="53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52" totalsRowDxfId="51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50" totalsRowDxfId="49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48" totalsRowDxfId="47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46" totalsRowDxfId="45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6" totalsRowShown="0" headerRowDxfId="44" dataDxfId="43">
  <autoFilter ref="A1:J6" xr:uid="{92565AF6-51CB-F740-ACD0-AD376C5F8FE0}"/>
  <tableColumns count="10">
    <tableColumn id="1" xr3:uid="{0B7A1F2D-D042-6947-B65B-356D4D33EC84}" name="Movement" dataDxfId="42"/>
    <tableColumn id="6" xr3:uid="{8D570864-DCAB-384F-9AAB-0B1B408BA72D}" name="Account Secondary" dataDxfId="41"/>
    <tableColumn id="7" xr3:uid="{1C5600AD-E9D1-6040-A70C-7F4F4F75639C}" name="2024-05-01" dataDxfId="40"/>
    <tableColumn id="8" xr3:uid="{A3364F3B-B8BC-434D-A8BB-FFC3B8C71293}" name="2024-06-01" dataDxfId="39"/>
    <tableColumn id="9" xr3:uid="{1771F61E-E416-CE41-8394-E64B9057B10F}" name="2024-07-01" dataDxfId="38"/>
    <tableColumn id="10" xr3:uid="{7188F6FE-F410-1741-B1DE-14957C8A5CB8}" name="2024-08-01" dataDxfId="37"/>
    <tableColumn id="11" xr3:uid="{C2DE6C79-5960-3D4C-B26C-70E7E132D282}" name="2024-09-01" dataDxfId="36"/>
    <tableColumn id="12" xr3:uid="{F4072681-3F04-0A46-9D9B-9A5803996783}" name="2024-10-01" dataDxfId="35"/>
    <tableColumn id="13" xr3:uid="{AB81E1BD-B0CD-E84E-BC8A-D81316A44B08}" name="2024-11-01" dataDxfId="34"/>
    <tableColumn id="14" xr3:uid="{7B9D14C4-BF9C-C74A-A14D-9A201AB2AF66}" name="2024-12-01" dataDxfId="33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bcc" displayName="bcc" ref="A1:U7" totalsRowShown="0" headerRowDxfId="32" dataDxfId="31">
  <autoFilter ref="A1:U7" xr:uid="{D9073226-BE95-ED4B-8E84-34502A072542}"/>
  <tableColumns count="21">
    <tableColumn id="5" xr3:uid="{D736239C-8F8A-0A41-855C-2D61D9FA6F03}" name="Movement" dataDxfId="30"/>
    <tableColumn id="6" xr3:uid="{879B2830-2DB7-7C44-BEEF-A003D5F5C5EF}" name="Account Secondary" dataDxfId="29"/>
    <tableColumn id="7" xr3:uid="{142EA412-8F0A-D645-9812-6B2B6729A8A4}" name="2024-05-01" dataDxfId="28"/>
    <tableColumn id="8" xr3:uid="{DD117CB8-2856-0D48-9412-33F2845F937D}" name="2024-06-01" dataDxfId="27"/>
    <tableColumn id="9" xr3:uid="{C9503397-2C2A-5B4B-84F6-7256EAD4FF82}" name="2024-07-01" dataDxfId="26"/>
    <tableColumn id="10" xr3:uid="{528B3BEA-F5F6-CA4E-AA11-9CB0EBC907A1}" name="2024-08-01" dataDxfId="25"/>
    <tableColumn id="11" xr3:uid="{248F2750-40B2-694E-B3E3-8C20B5CD9E09}" name="2024-09-01" dataDxfId="24"/>
    <tableColumn id="12" xr3:uid="{FB23FE30-E2E2-BE49-A8AF-CCF74A9E5265}" name="2024-10-01" dataDxfId="23"/>
    <tableColumn id="13" xr3:uid="{B7503BFF-CAE0-234C-B277-0A411884B34E}" name="2024-11-01" dataDxfId="22"/>
    <tableColumn id="14" xr3:uid="{990DC215-1A0B-E34F-9CD0-E23EE6337BA8}" name="2024-12-01" dataDxfId="21"/>
    <tableColumn id="1" xr3:uid="{DEB8716C-DBC8-0A48-92AC-FD82E14ED992}" name="2025-02-01" dataDxfId="20">
      <calculatedColumnFormula>SUMIF(btrn[Movement], "Credit", btrn[2025-02-01]) - SUMIF(btrn[Movement], "Debit", btrn[2025-02-01])</calculatedColumnFormula>
    </tableColumn>
    <tableColumn id="2" xr3:uid="{99B13CC2-92B6-3940-A905-04C48FDDEBC4}" name="2025-03-01" dataDxfId="19">
      <calculatedColumnFormula>SUMIF(btrn[Movement], "Credit", btrn[2025-03-01]) - SUMIF(btrn[Movement], "Debit", btrn[2025-03-01])</calculatedColumnFormula>
    </tableColumn>
    <tableColumn id="3" xr3:uid="{40876872-3D3D-BD4A-87AE-43A114C254D7}" name="2025-04-01" dataDxfId="18">
      <calculatedColumnFormula>SUMIF(btrn[Movement], "Credit", btrn[2025-04-01]) - SUMIF(btrn[Movement], "Debit", btrn[2025-04-01])</calculatedColumnFormula>
    </tableColumn>
    <tableColumn id="4" xr3:uid="{6A4CB94B-1D33-8E4B-A948-0C3DA58884DD}" name="2025-05-01" dataDxfId="17">
      <calculatedColumnFormula>SUMIF(btrn[Movement], "Credit", btrn[2025-05-01]) - SUMIF(btrn[Movement], "Debit", btrn[2025-05-01])</calculatedColumnFormula>
    </tableColumn>
    <tableColumn id="15" xr3:uid="{E50762C6-233C-D544-8E62-7A09F3A1D363}" name="2025-06-01" dataDxfId="16">
      <calculatedColumnFormula>SUMIF(btrn[Movement], "Credit", btrn[2025-06-01]) - SUMIF(btrn[Movement], "Debit", btrn[2025-06-01])</calculatedColumnFormula>
    </tableColumn>
    <tableColumn id="16" xr3:uid="{77480624-9AEE-2B4F-B072-990DEAC621CA}" name="2025-07-01" dataDxfId="15">
      <calculatedColumnFormula>SUMIF(btrn[Movement], "Credit", btrn[2025-07-01]) - SUMIF(btrn[Movement], "Debit", btrn[2025-07-01])</calculatedColumnFormula>
    </tableColumn>
    <tableColumn id="17" xr3:uid="{0DAA9C1E-55B8-EB4B-BA36-7F4901E79744}" name="2025-08-01" dataDxfId="14">
      <calculatedColumnFormula>SUMIF(btrn[Movement], "Credit", btrn[2025-08-01]) - SUMIF(btrn[Movement], "Debit", btrn[2025-08-01])</calculatedColumnFormula>
    </tableColumn>
    <tableColumn id="18" xr3:uid="{153B46B1-4960-8048-982D-6BD343654077}" name="2025-09-01" dataDxfId="13">
      <calculatedColumnFormula>SUMIF(btrn[Movement], "Credit", btrn[2025-09-01]) - SUMIF(btrn[Movement], "Debit", btrn[2025-09-01])</calculatedColumnFormula>
    </tableColumn>
    <tableColumn id="19" xr3:uid="{E7705E6E-A66C-484C-9BBC-301D1347CBDD}" name="2025-10-01" dataDxfId="12">
      <calculatedColumnFormula>SUMIF(btrn[Movement], "Credit", btrn[2025-10-01]) - SUMIF(btrn[Movement], "Debit", btrn[2025-10-01])</calculatedColumnFormula>
    </tableColumn>
    <tableColumn id="20" xr3:uid="{1DC58CA7-5236-5B48-A3B0-00FCFB8CEBF0}" name="2025-11-01" dataDxfId="11">
      <calculatedColumnFormula>SUMIF(btrn[Movement], "Credit", btrn[2025-11-01]) - SUMIF(btrn[Movement], "Debit", btrn[2025-11-01])</calculatedColumnFormula>
    </tableColumn>
    <tableColumn id="21" xr3:uid="{CE43E64E-A176-CA44-A676-04D03A7634AB}" name="2025-12-01" dataDxfId="10">
      <calculatedColumnFormula>SUMIF(btrn[Movement], "Credit", btrn[2025-12-01]) - SUMIF(btrn[Movement], "Debit", btrn[2025-12-01])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sheetPr codeName="Sheet1"/>
  <dimension ref="A1:AC79"/>
  <sheetViews>
    <sheetView showGridLines="0" zoomScale="109" workbookViewId="0">
      <selection activeCell="L17" sqref="L17"/>
    </sheetView>
  </sheetViews>
  <sheetFormatPr baseColWidth="10" defaultRowHeight="16" x14ac:dyDescent="0.2"/>
  <cols>
    <col min="1" max="1" width="11" customWidth="1"/>
    <col min="2" max="2" width="25.6640625" bestFit="1" customWidth="1"/>
    <col min="3" max="3" width="20" customWidth="1"/>
    <col min="4" max="5" width="15.1640625" style="1" customWidth="1"/>
    <col min="6" max="11" width="15.1640625" customWidth="1"/>
    <col min="12" max="12" width="19" customWidth="1"/>
    <col min="13" max="22" width="19.33203125" customWidth="1"/>
    <col min="28" max="28" width="15.5" bestFit="1" customWidth="1"/>
  </cols>
  <sheetData>
    <row r="1" spans="1:22" ht="17" thickBot="1" x14ac:dyDescent="0.25">
      <c r="A1" s="64" t="s">
        <v>23</v>
      </c>
      <c r="B1" s="64" t="s">
        <v>49</v>
      </c>
      <c r="C1" s="65" t="s">
        <v>38</v>
      </c>
      <c r="D1" s="65" t="s">
        <v>39</v>
      </c>
      <c r="E1" s="65" t="s">
        <v>41</v>
      </c>
      <c r="F1" s="65" t="s">
        <v>40</v>
      </c>
      <c r="G1" s="65" t="s">
        <v>42</v>
      </c>
      <c r="H1" s="65" t="s">
        <v>43</v>
      </c>
      <c r="I1" s="65" t="s">
        <v>44</v>
      </c>
      <c r="J1" s="65" t="s">
        <v>45</v>
      </c>
      <c r="K1" s="20" t="s">
        <v>52</v>
      </c>
      <c r="L1" s="20" t="s">
        <v>53</v>
      </c>
      <c r="M1" s="20" t="s">
        <v>54</v>
      </c>
      <c r="N1" s="20" t="s">
        <v>55</v>
      </c>
      <c r="O1" s="20" t="s">
        <v>57</v>
      </c>
      <c r="P1" s="20" t="s">
        <v>56</v>
      </c>
      <c r="Q1" s="20" t="s">
        <v>58</v>
      </c>
      <c r="R1" s="20" t="s">
        <v>59</v>
      </c>
      <c r="S1" s="20" t="s">
        <v>60</v>
      </c>
      <c r="T1" s="20" t="s">
        <v>61</v>
      </c>
      <c r="U1" s="20" t="s">
        <v>62</v>
      </c>
      <c r="V1" s="20" t="s">
        <v>63</v>
      </c>
    </row>
    <row r="2" spans="1:22" s="2" customFormat="1" ht="22" x14ac:dyDescent="0.3">
      <c r="A2" s="66" t="s">
        <v>50</v>
      </c>
      <c r="B2" s="67" t="s">
        <v>37</v>
      </c>
      <c r="C2" s="68">
        <v>27000</v>
      </c>
      <c r="D2" s="68">
        <v>27000</v>
      </c>
      <c r="E2" s="69">
        <v>21600</v>
      </c>
      <c r="F2" s="68">
        <v>21600</v>
      </c>
      <c r="G2" s="68">
        <v>21600</v>
      </c>
      <c r="H2" s="68">
        <v>21600</v>
      </c>
      <c r="I2" s="68">
        <v>21600</v>
      </c>
      <c r="J2" s="68">
        <v>25100</v>
      </c>
      <c r="K2" s="23">
        <v>25100</v>
      </c>
      <c r="L2" s="21">
        <v>21600</v>
      </c>
      <c r="M2" s="85">
        <v>23100</v>
      </c>
      <c r="N2" s="21">
        <v>24600</v>
      </c>
      <c r="O2" s="21">
        <v>24600</v>
      </c>
      <c r="P2" s="21">
        <v>24600</v>
      </c>
      <c r="Q2" s="21">
        <v>24600</v>
      </c>
      <c r="R2" s="7">
        <v>24600</v>
      </c>
      <c r="S2" s="7">
        <v>24600</v>
      </c>
      <c r="T2" s="7">
        <v>24600</v>
      </c>
      <c r="U2" s="7">
        <v>24600</v>
      </c>
      <c r="V2" s="7">
        <v>24600</v>
      </c>
    </row>
    <row r="3" spans="1:22" s="2" customFormat="1" ht="22" x14ac:dyDescent="0.3">
      <c r="A3" s="53" t="s">
        <v>50</v>
      </c>
      <c r="B3" s="53" t="s">
        <v>78</v>
      </c>
      <c r="C3" s="70">
        <v>1325</v>
      </c>
      <c r="D3" s="70">
        <v>1325</v>
      </c>
      <c r="E3" s="70">
        <v>1325</v>
      </c>
      <c r="F3" s="70">
        <v>1325</v>
      </c>
      <c r="G3" s="70">
        <v>1325</v>
      </c>
      <c r="H3" s="70">
        <v>1000</v>
      </c>
      <c r="I3" s="70">
        <v>1000</v>
      </c>
      <c r="J3" s="70">
        <v>1169</v>
      </c>
      <c r="K3" s="23">
        <v>1169</v>
      </c>
      <c r="L3" s="21">
        <v>1169</v>
      </c>
      <c r="M3" s="85">
        <v>1169</v>
      </c>
      <c r="N3" s="21">
        <v>1669</v>
      </c>
      <c r="O3" s="21">
        <v>1169</v>
      </c>
      <c r="P3" s="21">
        <v>1349</v>
      </c>
      <c r="Q3" s="23">
        <v>1419</v>
      </c>
      <c r="R3" s="23">
        <v>1169</v>
      </c>
      <c r="S3" s="23">
        <v>1169</v>
      </c>
      <c r="T3" s="23">
        <v>1169</v>
      </c>
      <c r="U3" s="23">
        <v>1169</v>
      </c>
      <c r="V3" s="23">
        <v>1169</v>
      </c>
    </row>
    <row r="4" spans="1:22" s="2" customFormat="1" ht="22" x14ac:dyDescent="0.3">
      <c r="A4" s="53" t="s">
        <v>50</v>
      </c>
      <c r="B4" s="53" t="s">
        <v>36</v>
      </c>
      <c r="C4" s="70"/>
      <c r="D4" s="70"/>
      <c r="E4" s="70"/>
      <c r="F4" s="70">
        <v>750</v>
      </c>
      <c r="G4" s="70">
        <v>1250</v>
      </c>
      <c r="H4" s="70"/>
      <c r="I4" s="70">
        <v>250</v>
      </c>
      <c r="J4" s="70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</row>
    <row r="5" spans="1:22" s="2" customFormat="1" ht="22" x14ac:dyDescent="0.3">
      <c r="A5" s="53" t="s">
        <v>50</v>
      </c>
      <c r="B5" s="53" t="s">
        <v>17</v>
      </c>
      <c r="C5" s="70"/>
      <c r="D5" s="70"/>
      <c r="E5" s="70"/>
      <c r="F5" s="70"/>
      <c r="G5" s="70"/>
      <c r="H5" s="70"/>
      <c r="I5" s="70"/>
      <c r="J5" s="70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</row>
    <row r="6" spans="1:22" s="2" customFormat="1" ht="22" x14ac:dyDescent="0.3">
      <c r="A6" s="53" t="s">
        <v>50</v>
      </c>
      <c r="B6" s="53" t="s">
        <v>30</v>
      </c>
      <c r="C6" s="70"/>
      <c r="D6" s="70"/>
      <c r="E6" s="70"/>
      <c r="F6" s="70"/>
      <c r="G6" s="70"/>
      <c r="H6" s="70">
        <v>0</v>
      </c>
      <c r="I6" s="70">
        <v>3500</v>
      </c>
      <c r="J6" s="70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</row>
    <row r="7" spans="1:22" s="2" customFormat="1" ht="22" x14ac:dyDescent="0.3">
      <c r="A7" s="53" t="s">
        <v>50</v>
      </c>
      <c r="B7" s="53" t="s">
        <v>90</v>
      </c>
      <c r="C7" s="70"/>
      <c r="D7" s="70"/>
      <c r="E7" s="70"/>
      <c r="F7" s="70"/>
      <c r="G7" s="70"/>
      <c r="H7" s="70"/>
      <c r="I7" s="70"/>
      <c r="J7" s="70"/>
      <c r="K7" s="23"/>
      <c r="L7" s="23"/>
      <c r="M7" s="85">
        <v>259</v>
      </c>
      <c r="N7" s="21">
        <v>137</v>
      </c>
      <c r="O7" s="23">
        <v>0</v>
      </c>
      <c r="P7" s="21">
        <v>1024</v>
      </c>
      <c r="Q7" s="21">
        <v>900</v>
      </c>
      <c r="R7" s="23">
        <f>jtrn[[#Totals],[2025-07-01]]</f>
        <v>135</v>
      </c>
      <c r="S7" s="23">
        <f>jtrn[[#Totals],[2025-08-01]]</f>
        <v>1090</v>
      </c>
      <c r="T7" s="23">
        <f>jtrn[[#Totals],[2025-09-01]]</f>
        <v>6145</v>
      </c>
      <c r="U7" s="23">
        <f>jtrn[[#Totals],[2025-10-01]]</f>
        <v>6900</v>
      </c>
      <c r="V7" s="23">
        <f>jtrn[[#Totals],[2025-11-01]]</f>
        <v>5655</v>
      </c>
    </row>
    <row r="8" spans="1:22" s="2" customFormat="1" ht="22" x14ac:dyDescent="0.3">
      <c r="A8" s="53" t="s">
        <v>50</v>
      </c>
      <c r="B8" s="53" t="s">
        <v>87</v>
      </c>
      <c r="C8" s="70"/>
      <c r="D8" s="70"/>
      <c r="E8" s="70"/>
      <c r="F8" s="70"/>
      <c r="G8" s="70">
        <v>5700</v>
      </c>
      <c r="H8" s="70"/>
      <c r="I8" s="70"/>
      <c r="J8" s="70"/>
      <c r="K8" s="23"/>
      <c r="L8" s="23"/>
      <c r="M8" s="23"/>
      <c r="N8" s="23"/>
      <c r="O8" s="23"/>
      <c r="P8" s="23"/>
      <c r="Q8" s="23"/>
      <c r="R8" s="23"/>
      <c r="S8" s="23">
        <v>5000</v>
      </c>
      <c r="T8" s="23"/>
      <c r="U8" s="23"/>
      <c r="V8" s="23"/>
    </row>
    <row r="9" spans="1:22" s="2" customFormat="1" ht="22" x14ac:dyDescent="0.3">
      <c r="A9" s="53" t="s">
        <v>50</v>
      </c>
      <c r="B9" s="53" t="s">
        <v>16</v>
      </c>
      <c r="C9" s="70">
        <v>7700</v>
      </c>
      <c r="D9" s="70">
        <v>7700</v>
      </c>
      <c r="E9" s="71">
        <v>7000</v>
      </c>
      <c r="F9" s="70">
        <v>6800</v>
      </c>
      <c r="G9" s="70">
        <v>7000</v>
      </c>
      <c r="H9" s="70">
        <v>7300</v>
      </c>
      <c r="I9" s="70">
        <v>7750</v>
      </c>
      <c r="J9" s="70">
        <v>8000</v>
      </c>
      <c r="K9" s="23">
        <v>8000</v>
      </c>
      <c r="L9" s="21">
        <v>7700</v>
      </c>
      <c r="M9" s="85">
        <v>8000</v>
      </c>
      <c r="N9" s="21">
        <v>8000</v>
      </c>
      <c r="O9" s="21">
        <v>8000</v>
      </c>
      <c r="P9" s="21">
        <v>8000</v>
      </c>
      <c r="Q9" s="23">
        <v>8000</v>
      </c>
      <c r="R9" s="23">
        <v>8000</v>
      </c>
      <c r="S9" s="23">
        <v>8000</v>
      </c>
      <c r="T9" s="23">
        <v>8000</v>
      </c>
      <c r="U9" s="23">
        <v>8000</v>
      </c>
      <c r="V9" s="23">
        <v>8000</v>
      </c>
    </row>
    <row r="10" spans="1:22" s="3" customFormat="1" ht="22" x14ac:dyDescent="0.3">
      <c r="A10" s="42" t="s">
        <v>51</v>
      </c>
      <c r="B10" s="42" t="s">
        <v>10</v>
      </c>
      <c r="C10" s="72">
        <v>500</v>
      </c>
      <c r="D10" s="72">
        <v>1500</v>
      </c>
      <c r="E10" s="73">
        <v>250</v>
      </c>
      <c r="F10" s="72">
        <v>500</v>
      </c>
      <c r="G10" s="72">
        <v>500</v>
      </c>
      <c r="H10" s="72">
        <v>1000</v>
      </c>
      <c r="I10" s="72">
        <v>750</v>
      </c>
      <c r="J10" s="72">
        <v>1000</v>
      </c>
      <c r="K10" s="40">
        <v>1000</v>
      </c>
      <c r="L10" s="79">
        <v>1000</v>
      </c>
      <c r="M10" s="87">
        <v>2000</v>
      </c>
      <c r="N10" s="79">
        <v>1700</v>
      </c>
      <c r="O10" s="79">
        <v>1000</v>
      </c>
      <c r="P10" s="79">
        <v>2000</v>
      </c>
      <c r="Q10" s="79">
        <v>1500</v>
      </c>
      <c r="R10" s="40">
        <v>2000</v>
      </c>
      <c r="S10" s="40">
        <v>2000</v>
      </c>
      <c r="T10" s="40">
        <v>2000</v>
      </c>
      <c r="U10" s="40">
        <v>2000</v>
      </c>
      <c r="V10" s="40">
        <v>2000</v>
      </c>
    </row>
    <row r="11" spans="1:22" s="3" customFormat="1" ht="22" x14ac:dyDescent="0.3">
      <c r="A11" s="42" t="s">
        <v>51</v>
      </c>
      <c r="B11" s="42" t="s">
        <v>1</v>
      </c>
      <c r="C11" s="72">
        <v>8140</v>
      </c>
      <c r="D11" s="72">
        <v>8140</v>
      </c>
      <c r="E11" s="72">
        <v>8140</v>
      </c>
      <c r="F11" s="72">
        <v>8140</v>
      </c>
      <c r="G11" s="72">
        <v>8140</v>
      </c>
      <c r="H11" s="72">
        <v>8140</v>
      </c>
      <c r="I11" s="72">
        <v>8140</v>
      </c>
      <c r="J11" s="72">
        <v>8140</v>
      </c>
      <c r="K11" s="40">
        <v>8140</v>
      </c>
      <c r="L11" s="79">
        <v>7910</v>
      </c>
      <c r="M11" s="87">
        <v>7795</v>
      </c>
      <c r="N11" s="79">
        <v>7795</v>
      </c>
      <c r="O11" s="79">
        <v>7795</v>
      </c>
      <c r="P11" s="79">
        <v>7795</v>
      </c>
      <c r="Q11" s="40">
        <v>7795</v>
      </c>
      <c r="R11" s="40">
        <v>7795</v>
      </c>
      <c r="S11" s="40">
        <v>7795</v>
      </c>
      <c r="T11" s="40">
        <v>7795</v>
      </c>
      <c r="U11" s="40">
        <v>7795</v>
      </c>
      <c r="V11" s="40">
        <v>7795</v>
      </c>
    </row>
    <row r="12" spans="1:22" s="3" customFormat="1" ht="22" x14ac:dyDescent="0.3">
      <c r="A12" s="42" t="s">
        <v>51</v>
      </c>
      <c r="B12" s="42" t="s">
        <v>2</v>
      </c>
      <c r="C12" s="72">
        <v>3500</v>
      </c>
      <c r="D12" s="72">
        <v>3578</v>
      </c>
      <c r="E12" s="73">
        <v>3578</v>
      </c>
      <c r="F12" s="72">
        <v>3578</v>
      </c>
      <c r="G12" s="72">
        <v>3578</v>
      </c>
      <c r="H12" s="72">
        <v>3578</v>
      </c>
      <c r="I12" s="72">
        <v>3578</v>
      </c>
      <c r="J12" s="72">
        <v>3578</v>
      </c>
      <c r="K12" s="40">
        <v>3578</v>
      </c>
      <c r="L12" s="79">
        <v>3577</v>
      </c>
      <c r="M12" s="87">
        <v>3577</v>
      </c>
      <c r="N12" s="79">
        <v>3577</v>
      </c>
      <c r="O12" s="79">
        <v>3577</v>
      </c>
      <c r="P12" s="79">
        <v>3577</v>
      </c>
      <c r="Q12" s="79">
        <v>3577</v>
      </c>
      <c r="R12" s="40">
        <v>3577</v>
      </c>
      <c r="S12" s="40">
        <v>3577</v>
      </c>
      <c r="T12" s="40">
        <v>3577</v>
      </c>
      <c r="U12" s="40">
        <v>3577</v>
      </c>
      <c r="V12" s="40">
        <v>3577</v>
      </c>
    </row>
    <row r="13" spans="1:22" s="38" customFormat="1" ht="22" x14ac:dyDescent="0.3">
      <c r="A13" s="42" t="s">
        <v>51</v>
      </c>
      <c r="B13" s="36" t="s">
        <v>4</v>
      </c>
      <c r="C13" s="55">
        <v>4530</v>
      </c>
      <c r="D13" s="55">
        <v>4530</v>
      </c>
      <c r="E13" s="55">
        <v>4530</v>
      </c>
      <c r="F13" s="55">
        <v>4530</v>
      </c>
      <c r="G13" s="55">
        <v>5600</v>
      </c>
      <c r="H13" s="55">
        <v>5600</v>
      </c>
      <c r="I13" s="55">
        <v>5600</v>
      </c>
      <c r="J13" s="55">
        <v>5600</v>
      </c>
      <c r="K13" s="37">
        <v>5600</v>
      </c>
      <c r="L13" s="37">
        <v>6305</v>
      </c>
      <c r="M13" s="88">
        <v>6305</v>
      </c>
      <c r="N13" s="80">
        <v>6305</v>
      </c>
      <c r="O13" s="80">
        <v>6305</v>
      </c>
      <c r="P13" s="113">
        <v>6305</v>
      </c>
      <c r="Q13" s="37">
        <v>6305</v>
      </c>
      <c r="R13" s="37">
        <v>6305</v>
      </c>
      <c r="S13" s="37">
        <v>6305</v>
      </c>
      <c r="T13" s="37">
        <v>6305</v>
      </c>
      <c r="U13" s="37">
        <v>6305</v>
      </c>
      <c r="V13" s="37">
        <v>6305</v>
      </c>
    </row>
    <row r="14" spans="1:22" s="38" customFormat="1" ht="22" x14ac:dyDescent="0.3">
      <c r="A14" s="42" t="s">
        <v>51</v>
      </c>
      <c r="B14" s="42" t="s">
        <v>21</v>
      </c>
      <c r="C14" s="72">
        <v>110</v>
      </c>
      <c r="D14" s="72">
        <v>170</v>
      </c>
      <c r="E14" s="72">
        <v>170</v>
      </c>
      <c r="F14" s="72">
        <v>170</v>
      </c>
      <c r="G14" s="72">
        <v>170</v>
      </c>
      <c r="H14" s="72">
        <v>170</v>
      </c>
      <c r="I14" s="72">
        <v>170</v>
      </c>
      <c r="J14" s="72">
        <v>170</v>
      </c>
      <c r="K14" s="40">
        <v>170</v>
      </c>
      <c r="L14" s="79">
        <v>170</v>
      </c>
      <c r="M14" s="87">
        <v>170</v>
      </c>
      <c r="N14" s="79">
        <v>170</v>
      </c>
      <c r="O14" s="79">
        <v>170</v>
      </c>
      <c r="P14" s="79">
        <v>170</v>
      </c>
      <c r="Q14" s="40">
        <v>170</v>
      </c>
      <c r="R14" s="40">
        <v>170</v>
      </c>
      <c r="S14" s="40">
        <v>170</v>
      </c>
      <c r="T14" s="40">
        <v>170</v>
      </c>
      <c r="U14" s="40">
        <v>170</v>
      </c>
      <c r="V14" s="40">
        <v>170</v>
      </c>
    </row>
    <row r="15" spans="1:22" s="38" customFormat="1" ht="22" x14ac:dyDescent="0.3">
      <c r="A15" s="42" t="s">
        <v>51</v>
      </c>
      <c r="B15" s="36" t="s">
        <v>5</v>
      </c>
      <c r="C15" s="55">
        <v>117</v>
      </c>
      <c r="D15" s="55">
        <v>117</v>
      </c>
      <c r="E15" s="55">
        <v>117</v>
      </c>
      <c r="F15" s="55">
        <v>117</v>
      </c>
      <c r="G15" s="55">
        <v>117</v>
      </c>
      <c r="H15" s="55">
        <v>117</v>
      </c>
      <c r="I15" s="55">
        <v>117</v>
      </c>
      <c r="J15" s="55">
        <v>117</v>
      </c>
      <c r="K15" s="37">
        <v>117</v>
      </c>
      <c r="L15" s="80">
        <v>117</v>
      </c>
      <c r="M15" s="88">
        <v>117</v>
      </c>
      <c r="N15" s="80">
        <v>117</v>
      </c>
      <c r="O15" s="80">
        <v>117</v>
      </c>
      <c r="P15" s="80">
        <v>117</v>
      </c>
      <c r="Q15" s="37">
        <v>117</v>
      </c>
      <c r="R15" s="37">
        <v>117</v>
      </c>
      <c r="S15" s="37">
        <v>117</v>
      </c>
      <c r="T15" s="37">
        <v>117</v>
      </c>
      <c r="U15" s="37">
        <v>117</v>
      </c>
      <c r="V15" s="37">
        <v>117</v>
      </c>
    </row>
    <row r="16" spans="1:22" s="38" customFormat="1" ht="22" x14ac:dyDescent="0.3">
      <c r="A16" s="42" t="s">
        <v>51</v>
      </c>
      <c r="B16" s="42" t="s">
        <v>6</v>
      </c>
      <c r="C16" s="72">
        <v>1050</v>
      </c>
      <c r="D16" s="72">
        <v>988</v>
      </c>
      <c r="E16" s="73">
        <v>988</v>
      </c>
      <c r="F16" s="72">
        <v>988</v>
      </c>
      <c r="G16" s="72">
        <v>988</v>
      </c>
      <c r="H16" s="72">
        <v>988</v>
      </c>
      <c r="I16" s="72">
        <v>988</v>
      </c>
      <c r="J16" s="72">
        <v>988</v>
      </c>
      <c r="K16" s="40">
        <v>988</v>
      </c>
      <c r="L16" s="79">
        <v>988</v>
      </c>
      <c r="M16" s="87">
        <v>690</v>
      </c>
      <c r="N16" s="108">
        <v>690</v>
      </c>
      <c r="O16" s="79">
        <v>855</v>
      </c>
      <c r="P16" s="114">
        <v>690</v>
      </c>
      <c r="Q16" s="40">
        <v>690</v>
      </c>
      <c r="R16" s="40">
        <v>690</v>
      </c>
      <c r="S16" s="40">
        <v>690</v>
      </c>
      <c r="T16" s="40">
        <v>690</v>
      </c>
      <c r="U16" s="40">
        <v>690</v>
      </c>
      <c r="V16" s="40">
        <v>690</v>
      </c>
    </row>
    <row r="17" spans="1:22" s="38" customFormat="1" ht="22" x14ac:dyDescent="0.3">
      <c r="A17" s="42" t="s">
        <v>51</v>
      </c>
      <c r="B17" s="36" t="s">
        <v>7</v>
      </c>
      <c r="C17" s="55">
        <v>1200</v>
      </c>
      <c r="D17" s="55">
        <v>560</v>
      </c>
      <c r="E17" s="55">
        <v>560</v>
      </c>
      <c r="F17" s="55">
        <v>560</v>
      </c>
      <c r="G17" s="55">
        <v>560</v>
      </c>
      <c r="H17" s="55">
        <v>560</v>
      </c>
      <c r="I17" s="55">
        <v>610</v>
      </c>
      <c r="J17" s="55">
        <v>610</v>
      </c>
      <c r="K17" s="37">
        <v>610</v>
      </c>
      <c r="L17" s="80">
        <v>610</v>
      </c>
      <c r="M17" s="88">
        <v>610</v>
      </c>
      <c r="N17" s="109">
        <v>610</v>
      </c>
      <c r="O17" s="80">
        <v>610</v>
      </c>
      <c r="P17" s="80">
        <v>610</v>
      </c>
      <c r="Q17" s="37">
        <v>610</v>
      </c>
      <c r="R17" s="37">
        <v>610</v>
      </c>
      <c r="S17" s="37">
        <v>610</v>
      </c>
      <c r="T17" s="37">
        <v>610</v>
      </c>
      <c r="U17" s="37">
        <v>610</v>
      </c>
      <c r="V17" s="37">
        <v>610</v>
      </c>
    </row>
    <row r="18" spans="1:22" s="38" customFormat="1" ht="22" x14ac:dyDescent="0.3">
      <c r="A18" s="42" t="s">
        <v>51</v>
      </c>
      <c r="B18" s="42" t="s">
        <v>8</v>
      </c>
      <c r="C18" s="72">
        <v>440</v>
      </c>
      <c r="D18" s="72">
        <v>440</v>
      </c>
      <c r="E18" s="72">
        <v>440</v>
      </c>
      <c r="F18" s="72">
        <v>440</v>
      </c>
      <c r="G18" s="72">
        <v>440</v>
      </c>
      <c r="H18" s="72">
        <v>440</v>
      </c>
      <c r="I18" s="72">
        <v>440</v>
      </c>
      <c r="J18" s="72">
        <v>440</v>
      </c>
      <c r="K18" s="40">
        <v>440</v>
      </c>
      <c r="L18" s="79">
        <v>450</v>
      </c>
      <c r="M18" s="87">
        <v>450</v>
      </c>
      <c r="N18" s="79">
        <v>450</v>
      </c>
      <c r="O18" s="79">
        <v>450</v>
      </c>
      <c r="P18" s="79">
        <v>450</v>
      </c>
      <c r="Q18" s="40">
        <v>450</v>
      </c>
      <c r="R18" s="40">
        <v>450</v>
      </c>
      <c r="S18" s="40">
        <v>450</v>
      </c>
      <c r="T18" s="40">
        <v>450</v>
      </c>
      <c r="U18" s="40">
        <v>450</v>
      </c>
      <c r="V18" s="40">
        <v>450</v>
      </c>
    </row>
    <row r="19" spans="1:22" s="38" customFormat="1" ht="22" x14ac:dyDescent="0.3">
      <c r="A19" s="42" t="s">
        <v>51</v>
      </c>
      <c r="B19" s="36" t="s">
        <v>13</v>
      </c>
      <c r="C19" s="55">
        <v>3500</v>
      </c>
      <c r="D19" s="55">
        <v>3500</v>
      </c>
      <c r="E19" s="74">
        <v>3500</v>
      </c>
      <c r="F19" s="55">
        <v>3500</v>
      </c>
      <c r="G19" s="55">
        <v>3500</v>
      </c>
      <c r="H19" s="55">
        <v>4000</v>
      </c>
      <c r="I19" s="55">
        <v>4000</v>
      </c>
      <c r="J19" s="55">
        <v>3700</v>
      </c>
      <c r="K19" s="37">
        <v>3700</v>
      </c>
      <c r="L19" s="80">
        <v>3000</v>
      </c>
      <c r="M19" s="37">
        <v>3200</v>
      </c>
      <c r="N19" s="80">
        <v>4726</v>
      </c>
      <c r="O19" s="80">
        <v>3260</v>
      </c>
      <c r="P19" s="80">
        <v>4100</v>
      </c>
      <c r="Q19" s="37">
        <v>3200</v>
      </c>
      <c r="R19" s="37">
        <v>3200</v>
      </c>
      <c r="S19" s="37">
        <v>3200</v>
      </c>
      <c r="T19" s="37">
        <v>3200</v>
      </c>
      <c r="U19" s="37">
        <v>3200</v>
      </c>
      <c r="V19" s="37">
        <v>3200</v>
      </c>
    </row>
    <row r="20" spans="1:22" s="38" customFormat="1" ht="22" x14ac:dyDescent="0.3">
      <c r="A20" s="42" t="s">
        <v>51</v>
      </c>
      <c r="B20" s="42" t="s">
        <v>47</v>
      </c>
      <c r="C20" s="72">
        <v>1000</v>
      </c>
      <c r="D20" s="72">
        <v>1000</v>
      </c>
      <c r="E20" s="73">
        <v>1000</v>
      </c>
      <c r="F20" s="72">
        <v>1000</v>
      </c>
      <c r="G20" s="72">
        <v>1000</v>
      </c>
      <c r="H20" s="72">
        <v>1000</v>
      </c>
      <c r="I20" s="72">
        <v>1000</v>
      </c>
      <c r="J20" s="72">
        <v>1000</v>
      </c>
      <c r="K20" s="40">
        <v>1000</v>
      </c>
      <c r="L20" s="79">
        <v>1000</v>
      </c>
      <c r="M20" s="87">
        <v>1000</v>
      </c>
      <c r="N20" s="79">
        <v>1000</v>
      </c>
      <c r="O20" s="79">
        <v>1000</v>
      </c>
      <c r="P20" s="79">
        <v>1000</v>
      </c>
      <c r="Q20" s="79">
        <v>1000</v>
      </c>
      <c r="R20" s="40">
        <v>1000</v>
      </c>
      <c r="S20" s="40">
        <v>1000</v>
      </c>
      <c r="T20" s="40">
        <v>1000</v>
      </c>
      <c r="U20" s="40">
        <v>1000</v>
      </c>
      <c r="V20" s="40">
        <v>1000</v>
      </c>
    </row>
    <row r="21" spans="1:22" s="38" customFormat="1" ht="22" x14ac:dyDescent="0.3">
      <c r="A21" s="42" t="s">
        <v>51</v>
      </c>
      <c r="B21" s="36" t="s">
        <v>14</v>
      </c>
      <c r="C21" s="55">
        <v>1000</v>
      </c>
      <c r="D21" s="55">
        <v>1500</v>
      </c>
      <c r="E21" s="74">
        <v>250</v>
      </c>
      <c r="F21" s="55">
        <v>500</v>
      </c>
      <c r="G21" s="55">
        <v>900</v>
      </c>
      <c r="H21" s="55">
        <v>200</v>
      </c>
      <c r="I21" s="55">
        <v>150</v>
      </c>
      <c r="J21" s="55">
        <v>900</v>
      </c>
      <c r="K21" s="37">
        <v>900</v>
      </c>
      <c r="L21" s="88">
        <v>500</v>
      </c>
      <c r="M21" s="88">
        <v>500</v>
      </c>
      <c r="N21" s="80">
        <v>400</v>
      </c>
      <c r="O21" s="80">
        <v>400</v>
      </c>
      <c r="P21" s="80">
        <v>1000</v>
      </c>
      <c r="Q21" s="80">
        <v>400</v>
      </c>
      <c r="R21" s="37">
        <v>400</v>
      </c>
      <c r="S21" s="37">
        <v>400</v>
      </c>
      <c r="T21" s="37">
        <v>400</v>
      </c>
      <c r="U21" s="37">
        <v>400</v>
      </c>
      <c r="V21" s="37">
        <v>400</v>
      </c>
    </row>
    <row r="22" spans="1:22" s="38" customFormat="1" ht="22" x14ac:dyDescent="0.3">
      <c r="A22" s="42" t="s">
        <v>51</v>
      </c>
      <c r="B22" s="42" t="s">
        <v>79</v>
      </c>
      <c r="C22" s="72">
        <v>5000</v>
      </c>
      <c r="D22" s="72">
        <v>4300</v>
      </c>
      <c r="E22" s="72">
        <v>3000</v>
      </c>
      <c r="F22" s="72">
        <v>3500</v>
      </c>
      <c r="G22" s="72">
        <v>3200</v>
      </c>
      <c r="H22" s="72">
        <v>3000</v>
      </c>
      <c r="I22" s="72">
        <v>3500</v>
      </c>
      <c r="J22" s="72">
        <v>4000</v>
      </c>
      <c r="K22" s="40">
        <v>4000</v>
      </c>
      <c r="L22" s="92">
        <v>2600</v>
      </c>
      <c r="M22" s="92">
        <v>3700</v>
      </c>
      <c r="N22" s="40">
        <v>3400</v>
      </c>
      <c r="O22" s="79">
        <v>3500</v>
      </c>
      <c r="P22" s="40">
        <v>3700</v>
      </c>
      <c r="Q22" s="40">
        <v>3500</v>
      </c>
      <c r="R22" s="40">
        <v>3700</v>
      </c>
      <c r="S22" s="40">
        <v>3700</v>
      </c>
      <c r="T22" s="40">
        <v>3700</v>
      </c>
      <c r="U22" s="40">
        <v>3700</v>
      </c>
      <c r="V22" s="40">
        <v>3700</v>
      </c>
    </row>
    <row r="23" spans="1:22" s="38" customFormat="1" ht="22" x14ac:dyDescent="0.3">
      <c r="A23" s="42" t="s">
        <v>51</v>
      </c>
      <c r="B23" s="42" t="s">
        <v>48</v>
      </c>
      <c r="C23" s="72">
        <v>0</v>
      </c>
      <c r="D23" s="72">
        <v>0</v>
      </c>
      <c r="E23" s="72">
        <v>0</v>
      </c>
      <c r="F23" s="72">
        <v>0</v>
      </c>
      <c r="G23" s="72">
        <v>0</v>
      </c>
      <c r="H23" s="72">
        <v>0</v>
      </c>
      <c r="I23" s="72">
        <v>0</v>
      </c>
      <c r="J23" s="72">
        <v>0</v>
      </c>
      <c r="K23" s="40">
        <v>0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</row>
    <row r="24" spans="1:22" s="3" customFormat="1" ht="22" x14ac:dyDescent="0.3">
      <c r="A24" s="42" t="s">
        <v>51</v>
      </c>
      <c r="B24" s="42" t="s">
        <v>36</v>
      </c>
      <c r="C24" s="72">
        <v>500</v>
      </c>
      <c r="D24" s="72">
        <v>200</v>
      </c>
      <c r="E24" s="72"/>
      <c r="F24" s="72">
        <v>0</v>
      </c>
      <c r="G24" s="72">
        <v>0</v>
      </c>
      <c r="H24" s="72">
        <v>0</v>
      </c>
      <c r="I24" s="72">
        <v>0</v>
      </c>
      <c r="J24" s="72">
        <v>0</v>
      </c>
      <c r="K24" s="40">
        <v>0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</row>
    <row r="25" spans="1:22" s="3" customFormat="1" ht="22" x14ac:dyDescent="0.3">
      <c r="A25" s="42" t="s">
        <v>51</v>
      </c>
      <c r="B25" s="36" t="s">
        <v>25</v>
      </c>
      <c r="C25" s="55">
        <v>1000</v>
      </c>
      <c r="D25" s="55">
        <v>1000</v>
      </c>
      <c r="E25" s="55">
        <v>0</v>
      </c>
      <c r="F25" s="55"/>
      <c r="G25" s="55">
        <v>500</v>
      </c>
      <c r="H25" s="55">
        <v>1000</v>
      </c>
      <c r="I25" s="55">
        <v>500</v>
      </c>
      <c r="J25" s="55">
        <v>500</v>
      </c>
      <c r="K25" s="37">
        <v>500</v>
      </c>
      <c r="L25" s="37"/>
      <c r="M25" s="37"/>
      <c r="N25" s="80">
        <v>1500</v>
      </c>
      <c r="O25" s="80">
        <v>1500</v>
      </c>
      <c r="P25" s="37"/>
      <c r="Q25" s="80">
        <v>500</v>
      </c>
      <c r="R25" s="37">
        <v>500</v>
      </c>
      <c r="S25" s="37">
        <v>500</v>
      </c>
      <c r="T25" s="37">
        <v>500</v>
      </c>
      <c r="U25" s="37">
        <v>500</v>
      </c>
      <c r="V25" s="37">
        <v>500</v>
      </c>
    </row>
    <row r="26" spans="1:22" s="3" customFormat="1" ht="22" x14ac:dyDescent="0.3">
      <c r="A26" s="42" t="s">
        <v>51</v>
      </c>
      <c r="B26" s="36" t="s">
        <v>46</v>
      </c>
      <c r="C26" s="55">
        <v>200</v>
      </c>
      <c r="D26" s="55">
        <v>200</v>
      </c>
      <c r="E26" s="74">
        <v>200</v>
      </c>
      <c r="F26" s="55">
        <v>200</v>
      </c>
      <c r="G26" s="55">
        <v>200</v>
      </c>
      <c r="H26" s="55">
        <v>0</v>
      </c>
      <c r="I26" s="55">
        <v>200</v>
      </c>
      <c r="J26" s="55">
        <v>200</v>
      </c>
      <c r="K26" s="37">
        <v>200</v>
      </c>
      <c r="L26" s="80">
        <v>900</v>
      </c>
      <c r="M26" s="88">
        <v>400</v>
      </c>
      <c r="N26" s="80">
        <v>400</v>
      </c>
      <c r="O26" s="80">
        <v>400</v>
      </c>
      <c r="P26" s="80">
        <v>400</v>
      </c>
      <c r="Q26" s="80">
        <v>400</v>
      </c>
      <c r="R26" s="37">
        <v>400</v>
      </c>
      <c r="S26" s="37">
        <v>400</v>
      </c>
      <c r="T26" s="37">
        <v>400</v>
      </c>
      <c r="U26" s="37">
        <v>400</v>
      </c>
      <c r="V26" s="37">
        <v>400</v>
      </c>
    </row>
    <row r="27" spans="1:22" s="3" customFormat="1" ht="22" x14ac:dyDescent="0.3">
      <c r="A27" s="42" t="s">
        <v>51</v>
      </c>
      <c r="B27" s="36" t="s">
        <v>19</v>
      </c>
      <c r="C27" s="55">
        <v>0</v>
      </c>
      <c r="D27" s="55">
        <v>0</v>
      </c>
      <c r="E27" s="55">
        <v>0</v>
      </c>
      <c r="F27" s="55">
        <v>0</v>
      </c>
      <c r="G27" s="55">
        <v>0</v>
      </c>
      <c r="H27" s="55">
        <v>0</v>
      </c>
      <c r="I27" s="55">
        <v>0</v>
      </c>
      <c r="J27" s="55">
        <v>0</v>
      </c>
      <c r="K27" s="37">
        <v>0</v>
      </c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</row>
    <row r="28" spans="1:22" s="3" customFormat="1" ht="22" x14ac:dyDescent="0.3">
      <c r="A28" s="42" t="s">
        <v>51</v>
      </c>
      <c r="B28" s="42" t="s">
        <v>81</v>
      </c>
      <c r="C28" s="72"/>
      <c r="D28" s="72"/>
      <c r="E28" s="73">
        <v>640</v>
      </c>
      <c r="F28" s="72">
        <v>0</v>
      </c>
      <c r="G28" s="72">
        <v>0</v>
      </c>
      <c r="H28" s="72">
        <v>0</v>
      </c>
      <c r="I28" s="72">
        <v>0</v>
      </c>
      <c r="J28" s="72">
        <v>500</v>
      </c>
      <c r="K28" s="40">
        <v>500</v>
      </c>
      <c r="L28" s="79">
        <v>432</v>
      </c>
      <c r="M28" s="40"/>
      <c r="N28" s="40"/>
      <c r="O28" s="40"/>
      <c r="P28" s="40"/>
      <c r="Q28" s="40">
        <v>630</v>
      </c>
      <c r="R28" s="40"/>
      <c r="S28" s="40"/>
      <c r="T28" s="40"/>
      <c r="U28" s="40"/>
      <c r="V28" s="40"/>
    </row>
    <row r="29" spans="1:22" s="3" customFormat="1" ht="22" x14ac:dyDescent="0.3">
      <c r="A29" s="42" t="s">
        <v>51</v>
      </c>
      <c r="B29" s="42" t="s">
        <v>17</v>
      </c>
      <c r="C29" s="72"/>
      <c r="D29" s="72"/>
      <c r="E29" s="72">
        <v>600</v>
      </c>
      <c r="F29" s="72">
        <v>600</v>
      </c>
      <c r="G29" s="72"/>
      <c r="H29" s="72">
        <v>580</v>
      </c>
      <c r="I29" s="72"/>
      <c r="J29" s="72"/>
      <c r="K29" s="40"/>
      <c r="L29" s="40"/>
      <c r="M29" s="40"/>
      <c r="N29" s="40"/>
      <c r="O29" s="40"/>
      <c r="P29" s="40"/>
      <c r="Q29" s="79">
        <v>250</v>
      </c>
      <c r="R29" s="40"/>
      <c r="S29" s="40"/>
      <c r="T29" s="40"/>
      <c r="U29" s="40"/>
      <c r="V29" s="40"/>
    </row>
    <row r="30" spans="1:22" s="3" customFormat="1" ht="22" x14ac:dyDescent="0.3">
      <c r="A30" s="42" t="s">
        <v>51</v>
      </c>
      <c r="B30" s="42" t="s">
        <v>91</v>
      </c>
      <c r="C30" s="72"/>
      <c r="D30" s="72"/>
      <c r="E30" s="72"/>
      <c r="F30" s="72"/>
      <c r="G30" s="72"/>
      <c r="H30" s="72"/>
      <c r="I30" s="75">
        <v>2227</v>
      </c>
      <c r="J30" s="72"/>
      <c r="K30" s="40"/>
      <c r="L30" s="40"/>
      <c r="M30" s="40"/>
      <c r="N30" s="40"/>
      <c r="O30" s="40"/>
      <c r="P30" s="40"/>
      <c r="Q30" s="40">
        <v>1090</v>
      </c>
      <c r="R30" s="40"/>
      <c r="S30" s="40"/>
      <c r="T30" s="40"/>
      <c r="U30" s="40"/>
      <c r="V30" s="40"/>
    </row>
    <row r="31" spans="1:22" s="3" customFormat="1" ht="22" x14ac:dyDescent="0.3">
      <c r="A31" s="42" t="s">
        <v>51</v>
      </c>
      <c r="B31" s="42" t="s">
        <v>92</v>
      </c>
      <c r="C31" s="72"/>
      <c r="D31" s="72"/>
      <c r="E31" s="72"/>
      <c r="F31" s="72"/>
      <c r="G31" s="72"/>
      <c r="H31" s="72"/>
      <c r="I31" s="72">
        <v>2065</v>
      </c>
      <c r="J31" s="72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>
        <v>2000</v>
      </c>
      <c r="V31" s="40"/>
    </row>
    <row r="32" spans="1:22" s="3" customFormat="1" ht="22" x14ac:dyDescent="0.3">
      <c r="A32" s="42" t="s">
        <v>51</v>
      </c>
      <c r="B32" s="42" t="s">
        <v>80</v>
      </c>
      <c r="C32" s="72"/>
      <c r="D32" s="72"/>
      <c r="E32" s="72"/>
      <c r="F32" s="72"/>
      <c r="G32" s="72"/>
      <c r="H32" s="72"/>
      <c r="I32" s="72"/>
      <c r="J32" s="72"/>
      <c r="K32" s="40"/>
      <c r="L32" s="40"/>
      <c r="M32" s="40">
        <v>900</v>
      </c>
      <c r="N32" s="79">
        <v>500</v>
      </c>
      <c r="O32" s="79">
        <v>500</v>
      </c>
      <c r="P32" s="79">
        <v>500</v>
      </c>
      <c r="Q32" s="79">
        <v>900</v>
      </c>
      <c r="R32" s="40">
        <v>900</v>
      </c>
      <c r="S32" s="40">
        <v>900</v>
      </c>
      <c r="T32" s="40">
        <v>900</v>
      </c>
      <c r="U32" s="40">
        <v>900</v>
      </c>
      <c r="V32" s="40">
        <v>900</v>
      </c>
    </row>
    <row r="33" spans="1:22" s="3" customFormat="1" ht="22" x14ac:dyDescent="0.3">
      <c r="A33" s="42" t="s">
        <v>51</v>
      </c>
      <c r="B33" s="42" t="s">
        <v>85</v>
      </c>
      <c r="C33" s="72"/>
      <c r="D33" s="72"/>
      <c r="E33" s="72"/>
      <c r="F33" s="72">
        <v>500</v>
      </c>
      <c r="G33" s="72">
        <v>500</v>
      </c>
      <c r="H33" s="72"/>
      <c r="I33" s="72"/>
      <c r="J33" s="72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</row>
    <row r="34" spans="1:22" s="3" customFormat="1" ht="22" x14ac:dyDescent="0.3">
      <c r="A34" s="42" t="s">
        <v>51</v>
      </c>
      <c r="B34" s="42" t="s">
        <v>3</v>
      </c>
      <c r="C34" s="72">
        <v>3100</v>
      </c>
      <c r="D34" s="72">
        <v>1700</v>
      </c>
      <c r="E34" s="72">
        <v>1820</v>
      </c>
      <c r="F34" s="72">
        <v>1820</v>
      </c>
      <c r="G34" s="72">
        <v>0</v>
      </c>
      <c r="H34" s="72">
        <v>0</v>
      </c>
      <c r="I34" s="72">
        <v>0</v>
      </c>
      <c r="J34" s="72">
        <v>0</v>
      </c>
      <c r="K34" s="40">
        <v>0</v>
      </c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</row>
    <row r="35" spans="1:22" s="38" customFormat="1" ht="22" x14ac:dyDescent="0.3">
      <c r="A35" s="42" t="s">
        <v>51</v>
      </c>
      <c r="B35" s="42" t="s">
        <v>15</v>
      </c>
      <c r="C35" s="72">
        <v>600</v>
      </c>
      <c r="D35" s="72">
        <v>600</v>
      </c>
      <c r="E35" s="72">
        <v>0</v>
      </c>
      <c r="F35" s="72">
        <v>0</v>
      </c>
      <c r="G35" s="72">
        <v>0</v>
      </c>
      <c r="H35" s="72">
        <v>0</v>
      </c>
      <c r="I35" s="72">
        <v>0</v>
      </c>
      <c r="J35" s="72">
        <v>0</v>
      </c>
      <c r="K35" s="40">
        <v>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</row>
    <row r="36" spans="1:22" s="3" customFormat="1" ht="22" x14ac:dyDescent="0.3">
      <c r="A36" s="42" t="s">
        <v>51</v>
      </c>
      <c r="B36" s="42" t="s">
        <v>88</v>
      </c>
      <c r="C36" s="72"/>
      <c r="D36" s="72"/>
      <c r="E36" s="72"/>
      <c r="F36" s="72"/>
      <c r="G36" s="72"/>
      <c r="H36" s="72"/>
      <c r="I36" s="72"/>
      <c r="J36" s="72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</row>
    <row r="37" spans="1:22" s="3" customFormat="1" ht="22" x14ac:dyDescent="0.3">
      <c r="A37" s="42" t="s">
        <v>51</v>
      </c>
      <c r="B37" s="42" t="s">
        <v>173</v>
      </c>
      <c r="C37" s="72"/>
      <c r="D37" s="72"/>
      <c r="E37" s="72"/>
      <c r="F37" s="72"/>
      <c r="G37" s="72"/>
      <c r="H37" s="72"/>
      <c r="I37" s="72"/>
      <c r="J37" s="72"/>
      <c r="K37" s="40"/>
      <c r="L37" s="40"/>
      <c r="M37" s="40"/>
      <c r="N37" s="79">
        <v>200</v>
      </c>
      <c r="O37" s="79">
        <v>200</v>
      </c>
      <c r="P37" s="79">
        <v>200</v>
      </c>
      <c r="Q37" s="79">
        <v>200</v>
      </c>
      <c r="R37" s="40">
        <v>200</v>
      </c>
      <c r="S37" s="40">
        <v>200</v>
      </c>
      <c r="T37" s="40">
        <v>200</v>
      </c>
      <c r="U37" s="40">
        <v>200</v>
      </c>
      <c r="V37" s="40">
        <v>200</v>
      </c>
    </row>
    <row r="38" spans="1:22" s="3" customFormat="1" ht="22" x14ac:dyDescent="0.3">
      <c r="A38" s="42" t="s">
        <v>51</v>
      </c>
      <c r="B38" s="42" t="s">
        <v>120</v>
      </c>
      <c r="C38" s="72"/>
      <c r="D38" s="72"/>
      <c r="E38" s="72"/>
      <c r="F38" s="72"/>
      <c r="G38" s="72"/>
      <c r="H38" s="72"/>
      <c r="I38" s="72"/>
      <c r="J38" s="72"/>
      <c r="K38" s="40"/>
      <c r="L38" s="79">
        <v>700</v>
      </c>
      <c r="M38" s="40"/>
      <c r="N38" s="40"/>
      <c r="O38" s="40">
        <v>700</v>
      </c>
      <c r="P38" s="40"/>
      <c r="Q38" s="40"/>
      <c r="R38" s="40"/>
      <c r="S38" s="40">
        <v>700</v>
      </c>
      <c r="T38" s="40"/>
      <c r="U38" s="40"/>
      <c r="V38" s="40"/>
    </row>
    <row r="39" spans="1:22" s="3" customFormat="1" ht="22" x14ac:dyDescent="0.3">
      <c r="A39" s="42" t="s">
        <v>51</v>
      </c>
      <c r="B39" s="42" t="s">
        <v>239</v>
      </c>
      <c r="C39" s="72"/>
      <c r="D39" s="72"/>
      <c r="E39" s="72"/>
      <c r="F39" s="72"/>
      <c r="G39" s="72"/>
      <c r="H39" s="72"/>
      <c r="I39" s="72"/>
      <c r="J39" s="72"/>
      <c r="K39" s="40"/>
      <c r="L39" s="40"/>
      <c r="M39" s="40"/>
      <c r="N39" s="40"/>
      <c r="O39" s="40"/>
      <c r="P39" s="40"/>
      <c r="Q39" s="40">
        <v>500</v>
      </c>
      <c r="R39" s="40"/>
      <c r="S39" s="40"/>
      <c r="T39" s="40"/>
      <c r="U39" s="40"/>
      <c r="V39" s="40"/>
    </row>
    <row r="40" spans="1:22" s="3" customFormat="1" ht="22" x14ac:dyDescent="0.3">
      <c r="A40" s="42" t="s">
        <v>51</v>
      </c>
      <c r="B40" s="42" t="s">
        <v>30</v>
      </c>
      <c r="C40" s="72">
        <v>0</v>
      </c>
      <c r="D40" s="72">
        <v>500</v>
      </c>
      <c r="E40" s="72"/>
      <c r="F40" s="72"/>
      <c r="G40" s="76">
        <v>5000</v>
      </c>
      <c r="H40" s="72"/>
      <c r="I40" s="72"/>
      <c r="J40" s="72">
        <v>3000</v>
      </c>
      <c r="K40" s="40">
        <v>3000</v>
      </c>
      <c r="L40" s="79">
        <v>200</v>
      </c>
      <c r="M40" s="87">
        <v>500</v>
      </c>
      <c r="N40" s="79">
        <v>850</v>
      </c>
      <c r="O40" s="79">
        <v>900</v>
      </c>
      <c r="P40" s="79">
        <v>1000</v>
      </c>
      <c r="Q40" s="79">
        <v>1000</v>
      </c>
      <c r="R40" s="51">
        <v>800</v>
      </c>
      <c r="S40" s="51">
        <v>1000</v>
      </c>
      <c r="T40" s="51">
        <v>1000</v>
      </c>
      <c r="U40" s="51">
        <v>1000</v>
      </c>
      <c r="V40" s="51">
        <v>1000</v>
      </c>
    </row>
    <row r="41" spans="1:22" ht="22" x14ac:dyDescent="0.3">
      <c r="A41" s="77" t="s">
        <v>77</v>
      </c>
      <c r="B41" s="77" t="s">
        <v>0</v>
      </c>
      <c r="C41" s="78">
        <f>SUMIF('Jeanre Transactional'!$A$2:$A$41,"Credit", 'Jeanre Transactional'!$C$2:$C$41)-SUMIF('Jeanre Transactional'!$A$2:$A$41,"Debit", 'Jeanre Transactional'!$C$2:$C$41)</f>
        <v>538</v>
      </c>
      <c r="D41" s="78">
        <f>SUMIF('Jeanre Transactional'!$A$2:$A$41,"Credit", 'Jeanre Transactional'!$D$2:$D$41)-SUMIF('Jeanre Transactional'!$A$2:$A$41,"Debit", 'Jeanre Transactional'!$D$2:$D$41)</f>
        <v>1502</v>
      </c>
      <c r="E41" s="78">
        <f>SUMIF('Jeanre Transactional'!$A$2:$A$41,"Credit", 'Jeanre Transactional'!$E$2:$E$41)-SUMIF('Jeanre Transactional'!$A$2:$A$41,"Debit", 'Jeanre Transactional'!$E$2:$E$41)</f>
        <v>142</v>
      </c>
      <c r="F41" s="78">
        <f>SUMIF('Jeanre Transactional'!$A$2:$A$41,"Credit", 'Jeanre Transactional'!$F$2:$F$41)-SUMIF('Jeanre Transactional'!$A$2:$A$41,"Debit", 'Jeanre Transactional'!$F$2:$F$41)</f>
        <v>-168</v>
      </c>
      <c r="G41" s="78">
        <f>SUMIF('Jeanre Transactional'!$A$2:$A$41,"Credit", 'Jeanre Transactional'!$G$2:$G$41)-SUMIF('Jeanre Transactional'!$A$2:$A$41,"Debit", 'Jeanre Transactional'!$G$2:$G$41)</f>
        <v>1982</v>
      </c>
      <c r="H41" s="78">
        <f>SUMIF('Jeanre Transactional'!$A$2:$A$41,"Credit", 'Jeanre Transactional'!$H$2:$H$41)-SUMIF('Jeanre Transactional'!$A$2:$A$41,"Debit", 'Jeanre Transactional'!$H$2:$H$41)</f>
        <v>-473</v>
      </c>
      <c r="I41" s="78">
        <f>SUMIF('Jeanre Transactional'!$A$2:$A$41,"Credit", 'Jeanre Transactional'!$I$2:$I$41)-SUMIF('Jeanre Transactional'!$A$2:$A$41,"Debit", 'Jeanre Transactional'!$I$2:$I$41)</f>
        <v>65</v>
      </c>
      <c r="J41" s="78">
        <f>SUMIF('Jeanre Transactional'!$A$2:$A$41,"Credit", 'Jeanre Transactional'!$J$2:$J$41)-SUMIF('Jeanre Transactional'!$A$2:$A$41,"Debit", 'Jeanre Transactional'!$J$2:$J$41)</f>
        <v>-174</v>
      </c>
      <c r="K41" s="12">
        <f>SUMIF(jtrn[Movement], "Credit", jtrn[2025-01-01]) - SUMIF(jtrn[Movement], "Debit", jtrn[2025-01-01])</f>
        <v>-174</v>
      </c>
      <c r="L41" s="12">
        <f>SUMIF(jtrn[Movement], "Credit", jtrn[2025-02-01]) - SUMIF(jtrn[Movement], "Debit", jtrn[2025-02-01])</f>
        <v>10</v>
      </c>
      <c r="M41" s="12">
        <f>SUMIF(jtrn[Movement], "Credit", jtrn[2025-03-01]) - SUMIF(jtrn[Movement], "Debit", jtrn[2025-03-01])</f>
        <v>614</v>
      </c>
      <c r="N41" s="12">
        <f>SUMIF(jtrn[Movement], "Credit", jtrn[2025-04-01]) - SUMIF(jtrn[Movement], "Debit", jtrn[2025-04-01])</f>
        <v>16</v>
      </c>
      <c r="O41" s="12">
        <f>SUMIF(jtrn[Movement], "Credit", jtrn[2025-05-01]) - SUMIF(jtrn[Movement], "Debit", jtrn[2025-05-01])</f>
        <v>530</v>
      </c>
      <c r="P41" s="12">
        <f>SUMIF(jtrn[Movement], "Credit", jtrn[2025-06-01]) - SUMIF(jtrn[Movement], "Debit", jtrn[2025-06-01])</f>
        <v>1359</v>
      </c>
      <c r="Q41" s="12">
        <f>SUMIF(jtrn[Movement], "Credit", jtrn[2025-07-01]) - SUMIF(jtrn[Movement], "Debit", jtrn[2025-07-01])</f>
        <v>135</v>
      </c>
      <c r="R41" s="12">
        <f>SUMIF(jtrn[Movement], "Credit", jtrn[2025-08-01]) - SUMIF(jtrn[Movement], "Debit", jtrn[2025-08-01])</f>
        <v>1090</v>
      </c>
      <c r="S41" s="12">
        <f>SUMIF(jtrn[Movement], "Credit", jtrn[2025-09-01]) - SUMIF(jtrn[Movement], "Debit", jtrn[2025-09-01])</f>
        <v>6145</v>
      </c>
      <c r="T41" s="12">
        <f>SUMIF(jtrn[Movement], "Credit", jtrn[2025-10-01]) - SUMIF(jtrn[Movement], "Debit", jtrn[2025-10-01])</f>
        <v>6900</v>
      </c>
      <c r="U41" s="12">
        <f>SUMIF(jtrn[Movement], "Credit", jtrn[2025-11-01]) - SUMIF(jtrn[Movement], "Debit", jtrn[2025-11-01])</f>
        <v>5655</v>
      </c>
      <c r="V41" s="12">
        <f>SUMIF(jtrn[Movement], "Credit", jtrn[2025-12-01]) - SUMIF(jtrn[Movement], "Debit", jtrn[2025-12-01])</f>
        <v>6410</v>
      </c>
    </row>
    <row r="42" spans="1:22" ht="22" x14ac:dyDescent="0.3">
      <c r="A42" s="77" t="s">
        <v>162</v>
      </c>
      <c r="B42" s="77" t="s">
        <v>0</v>
      </c>
      <c r="C42" s="78">
        <f>SUMIF('Jeanre Transactional'!$A$2:$A$41,"Credit", 'Jeanre Transactional'!$C$2:$C$41)-SUMIF('Jeanre Transactional'!$A$2:$A$41,"Debit", 'Jeanre Transactional'!$C$2:$C$41)</f>
        <v>538</v>
      </c>
      <c r="D42" s="78">
        <f>SUMIF('Jeanre Transactional'!$A$2:$A$41,"Credit", 'Jeanre Transactional'!$D$2:$D$41)-SUMIF('Jeanre Transactional'!$A$2:$A$41,"Debit", 'Jeanre Transactional'!$D$2:$D$41)</f>
        <v>1502</v>
      </c>
      <c r="E42" s="78">
        <f>SUMIF('Jeanre Transactional'!$A$2:$A$41,"Credit", 'Jeanre Transactional'!$E$2:$E$41)-SUMIF('Jeanre Transactional'!$A$2:$A$41,"Debit", 'Jeanre Transactional'!$E$2:$E$41)</f>
        <v>142</v>
      </c>
      <c r="F42" s="78">
        <f>SUMIF('Jeanre Transactional'!$A$2:$A$41,"Credit", 'Jeanre Transactional'!$F$2:$F$41)-SUMIF('Jeanre Transactional'!$A$2:$A$41,"Debit", 'Jeanre Transactional'!$F$2:$F$41)</f>
        <v>-168</v>
      </c>
      <c r="G42" s="78">
        <f>SUMIF('Jeanre Transactional'!$A$2:$A$41,"Credit", 'Jeanre Transactional'!$G$2:$G$41)-SUMIF('Jeanre Transactional'!$A$2:$A$41,"Debit", 'Jeanre Transactional'!$G$2:$G$41)</f>
        <v>1982</v>
      </c>
      <c r="H42" s="78">
        <f>SUMIF('Jeanre Transactional'!$A$2:$A$41,"Credit", 'Jeanre Transactional'!$H$2:$H$41)-SUMIF('Jeanre Transactional'!$A$2:$A$41,"Debit", 'Jeanre Transactional'!$H$2:$H$41)</f>
        <v>-473</v>
      </c>
      <c r="I42" s="78">
        <f>SUMIF('Jeanre Transactional'!$A$2:$A$41,"Credit", 'Jeanre Transactional'!$I$2:$I$41)-SUMIF('Jeanre Transactional'!$A$2:$A$41,"Debit", 'Jeanre Transactional'!$I$2:$I$41)</f>
        <v>65</v>
      </c>
      <c r="J42" s="78">
        <f>SUMIF('Jeanre Transactional'!$A$2:$A$41,"Credit", 'Jeanre Transactional'!$J$2:$J$41)-SUMIF('Jeanre Transactional'!$A$2:$A$41,"Debit", 'Jeanre Transactional'!$J$2:$J$41)</f>
        <v>-174</v>
      </c>
      <c r="K42" s="12">
        <f>SUMIF(jtrn[Movement], "Credit", jtrn[2025-01-01]) - SUMIF(jtrn[Movement], "Debit", jtrn[2025-01-01])</f>
        <v>-174</v>
      </c>
      <c r="L42" s="12">
        <f>SUMIF(jtrn[Movement], "Credit", jtrn[2025-02-01]) - SUMIF(jtrn[Movement], "Debit", jtrn[2025-02-01])</f>
        <v>10</v>
      </c>
      <c r="M42" s="12">
        <f>SUMIF(jtrn[Movement], "Credit", jtrn[2025-03-01]) - SUMIF(jtrn[Movement], "Debit", jtrn[2025-03-01]) - SUMIF(jtrn[Account Secondary], "Retained Balance", jtrn[2025-03-01])</f>
        <v>355</v>
      </c>
      <c r="N42" s="12">
        <f>SUMIF(jtrn[Movement], "Credit", jtrn[2025-04-01]) - SUMIF(jtrn[Movement], "Debit", jtrn[2025-04-01])- SUMIF(jtrn[Account Secondary], "Retained Balance", jtrn[2025-04-01])</f>
        <v>-121</v>
      </c>
      <c r="O42" s="12">
        <f>SUMIF(jtrn[Movement], "Credit", jtrn[2025-05-01]) - SUMIF(jtrn[Movement], "Debit", jtrn[2025-05-01])- SUMIF(jtrn[Account Secondary], "Retained Balance", jtrn[2025-05-01])</f>
        <v>530</v>
      </c>
      <c r="P42" s="12">
        <f>SUMIF(jtrn[Movement], "Credit", jtrn[2025-06-01]) - SUMIF(jtrn[Movement], "Debit", jtrn[2025-06-01])- SUMIF(jtrn[Account Secondary], "Retained Balance", jtrn[2025-06-01])</f>
        <v>335</v>
      </c>
      <c r="Q42" s="12">
        <f>SUMIF(jtrn[Movement], "Credit", jtrn[2025-07-01]) - SUMIF(jtrn[Movement], "Debit", jtrn[2025-07-01])- SUMIF(jtrn[Account Secondary], "Retained Balance", jtrn[2025-07-01])</f>
        <v>-765</v>
      </c>
      <c r="R42" s="12">
        <f>SUMIF(jtrn[Movement], "Credit", jtrn[2025-08-01]) - SUMIF(jtrn[Movement], "Debit", jtrn[2025-08-01])- SUMIF(jtrn[Account Secondary], "Retained Balance", jtrn[2025-08-01])</f>
        <v>955</v>
      </c>
      <c r="S42" s="12">
        <f>SUMIF(jtrn[Movement], "Credit", jtrn[2025-09-01]) - SUMIF(jtrn[Movement], "Debit", jtrn[2025-09-01])- SUMIF(jtrn[Account Secondary], "Retained Balance", jtrn[2025-09-01])</f>
        <v>5055</v>
      </c>
      <c r="T42" s="12">
        <f>SUMIF(jtrn[Movement], "Credit", jtrn[2025-10-01]) - SUMIF(jtrn[Movement], "Debit", jtrn[2025-10-01])- SUMIF(jtrn[Account Secondary], "Retained Balance", jtrn[2025-10-01])</f>
        <v>755</v>
      </c>
      <c r="U42" s="12">
        <f>SUMIF(jtrn[Movement], "Credit", jtrn[2025-11-01]) - SUMIF(jtrn[Movement], "Debit", jtrn[2025-11-01])- SUMIF(jtrn[Account Secondary], "Retained Balance", jtrn[2025-11-01])</f>
        <v>-1245</v>
      </c>
      <c r="V42" s="12">
        <f>SUMIF(jtrn[Movement], "Credit", jtrn[2025-12-01]) - SUMIF(jtrn[Movement], "Debit", jtrn[2025-12-01])- SUMIF(jtrn[Account Secondary], "Retained Balance", jtrn[2025-12-01])</f>
        <v>755</v>
      </c>
    </row>
    <row r="46" spans="1:22" x14ac:dyDescent="0.2">
      <c r="O46" s="1" t="s">
        <v>175</v>
      </c>
    </row>
    <row r="51" spans="2:19" x14ac:dyDescent="0.2">
      <c r="B51" s="93" t="s">
        <v>122</v>
      </c>
      <c r="C51" s="94"/>
      <c r="D51" s="93"/>
      <c r="E51" s="93"/>
      <c r="F51" s="94"/>
      <c r="G51" s="94"/>
      <c r="H51" s="94"/>
      <c r="I51" s="94"/>
      <c r="J51" s="94"/>
      <c r="K51" s="94"/>
      <c r="L51" s="94"/>
      <c r="M51" s="93">
        <v>3700</v>
      </c>
    </row>
    <row r="52" spans="2:19" x14ac:dyDescent="0.2">
      <c r="B52" s="94" t="s">
        <v>121</v>
      </c>
      <c r="C52" s="94"/>
      <c r="D52" s="93"/>
      <c r="E52" s="93"/>
      <c r="F52" s="94"/>
      <c r="G52" s="94"/>
      <c r="H52" s="94"/>
      <c r="I52" s="94"/>
      <c r="J52" s="94"/>
      <c r="K52" s="94"/>
      <c r="L52" s="94"/>
      <c r="M52" s="94">
        <v>1600</v>
      </c>
      <c r="P52" t="s">
        <v>121</v>
      </c>
      <c r="Q52">
        <v>1600</v>
      </c>
      <c r="R52" t="s">
        <v>127</v>
      </c>
    </row>
    <row r="53" spans="2:19" x14ac:dyDescent="0.2">
      <c r="B53" s="94" t="s">
        <v>123</v>
      </c>
      <c r="C53" s="94"/>
      <c r="D53" s="93"/>
      <c r="E53" s="93"/>
      <c r="F53" s="94"/>
      <c r="G53" s="94"/>
      <c r="H53" s="94"/>
      <c r="I53" s="94"/>
      <c r="J53" s="94"/>
      <c r="K53" s="94"/>
      <c r="L53" s="94"/>
      <c r="M53" s="94">
        <v>1000</v>
      </c>
      <c r="P53" t="s">
        <v>128</v>
      </c>
      <c r="Q53">
        <v>3510</v>
      </c>
      <c r="R53" t="s">
        <v>127</v>
      </c>
    </row>
    <row r="54" spans="2:19" x14ac:dyDescent="0.2">
      <c r="B54" s="94" t="s">
        <v>124</v>
      </c>
      <c r="C54" s="94"/>
      <c r="D54" s="93"/>
      <c r="E54" s="93"/>
      <c r="F54" s="94"/>
      <c r="G54" s="94"/>
      <c r="H54" s="94"/>
      <c r="I54" s="94"/>
      <c r="J54" s="94"/>
      <c r="K54" s="94"/>
      <c r="L54" s="94"/>
      <c r="M54" s="94"/>
      <c r="P54" t="s">
        <v>129</v>
      </c>
      <c r="Q54">
        <v>90</v>
      </c>
      <c r="R54" t="s">
        <v>127</v>
      </c>
    </row>
    <row r="55" spans="2:19" ht="17" thickBot="1" x14ac:dyDescent="0.25">
      <c r="B55" s="97" t="s">
        <v>125</v>
      </c>
      <c r="C55" s="97"/>
      <c r="D55" s="98"/>
      <c r="E55" s="98"/>
      <c r="F55" s="97"/>
      <c r="G55" s="97"/>
      <c r="H55" s="97"/>
      <c r="I55" s="97"/>
      <c r="J55" s="97"/>
      <c r="K55" s="97"/>
      <c r="L55" s="97"/>
      <c r="M55" s="97">
        <v>800</v>
      </c>
      <c r="P55" t="s">
        <v>130</v>
      </c>
      <c r="Q55">
        <v>60</v>
      </c>
      <c r="R55" t="s">
        <v>127</v>
      </c>
    </row>
    <row r="56" spans="2:19" ht="17" thickTop="1" x14ac:dyDescent="0.2">
      <c r="B56" s="95" t="s">
        <v>126</v>
      </c>
      <c r="C56" s="95"/>
      <c r="D56" s="96"/>
      <c r="E56" s="96"/>
      <c r="F56" s="95"/>
      <c r="G56" s="95"/>
      <c r="H56" s="95"/>
      <c r="I56" s="95"/>
      <c r="J56" s="95"/>
      <c r="K56" s="95"/>
      <c r="L56" s="95"/>
      <c r="M56" s="95">
        <f>M51-SUM(M52:M55)</f>
        <v>300</v>
      </c>
      <c r="P56" t="s">
        <v>131</v>
      </c>
      <c r="Q56">
        <v>170</v>
      </c>
      <c r="R56" t="s">
        <v>127</v>
      </c>
    </row>
    <row r="57" spans="2:19" x14ac:dyDescent="0.2">
      <c r="P57" t="s">
        <v>132</v>
      </c>
      <c r="Q57">
        <v>50</v>
      </c>
      <c r="R57" t="s">
        <v>127</v>
      </c>
    </row>
    <row r="58" spans="2:19" x14ac:dyDescent="0.2">
      <c r="P58" t="s">
        <v>133</v>
      </c>
      <c r="Q58">
        <v>290</v>
      </c>
      <c r="R58" t="s">
        <v>127</v>
      </c>
    </row>
    <row r="59" spans="2:19" x14ac:dyDescent="0.2">
      <c r="I59">
        <f>SUMIF('Jeanre Transactional'!$A$2:$A$41,"Credit", 'Jeanre Transactional'!$J$2:$J$41)-SUMIF('Jeanre Transactional'!$A$2:$A$41,"Debit", 'Jeanre Transactional'!$J$2:$J$41)</f>
        <v>-174</v>
      </c>
      <c r="P59" s="102" t="s">
        <v>134</v>
      </c>
      <c r="Q59" s="102">
        <v>500</v>
      </c>
      <c r="R59" s="102" t="s">
        <v>127</v>
      </c>
      <c r="S59" s="102" t="s">
        <v>141</v>
      </c>
    </row>
    <row r="60" spans="2:19" x14ac:dyDescent="0.2">
      <c r="P60" t="s">
        <v>135</v>
      </c>
      <c r="Q60">
        <v>304</v>
      </c>
      <c r="R60" t="s">
        <v>127</v>
      </c>
    </row>
    <row r="61" spans="2:19" x14ac:dyDescent="0.2">
      <c r="P61" t="s">
        <v>132</v>
      </c>
      <c r="Q61">
        <v>12</v>
      </c>
      <c r="R61" t="s">
        <v>127</v>
      </c>
    </row>
    <row r="62" spans="2:19" x14ac:dyDescent="0.2">
      <c r="P62" t="s">
        <v>136</v>
      </c>
      <c r="Q62">
        <v>110</v>
      </c>
      <c r="R62" t="s">
        <v>127</v>
      </c>
    </row>
    <row r="63" spans="2:19" x14ac:dyDescent="0.2">
      <c r="P63" t="s">
        <v>137</v>
      </c>
      <c r="Q63">
        <v>320</v>
      </c>
      <c r="R63" t="s">
        <v>127</v>
      </c>
      <c r="S63" t="s">
        <v>158</v>
      </c>
    </row>
    <row r="64" spans="2:19" x14ac:dyDescent="0.2">
      <c r="P64" t="s">
        <v>138</v>
      </c>
      <c r="Q64">
        <v>500</v>
      </c>
      <c r="R64" t="s">
        <v>127</v>
      </c>
    </row>
    <row r="65" spans="16:29" x14ac:dyDescent="0.2">
      <c r="P65" t="s">
        <v>139</v>
      </c>
      <c r="Q65">
        <v>41</v>
      </c>
      <c r="R65" t="s">
        <v>127</v>
      </c>
    </row>
    <row r="66" spans="16:29" x14ac:dyDescent="0.2">
      <c r="P66" t="s">
        <v>140</v>
      </c>
      <c r="Q66">
        <v>154</v>
      </c>
      <c r="R66" t="s">
        <v>127</v>
      </c>
      <c r="S66" t="s">
        <v>150</v>
      </c>
    </row>
    <row r="67" spans="16:29" x14ac:dyDescent="0.2">
      <c r="P67" t="s">
        <v>130</v>
      </c>
      <c r="Q67">
        <v>451</v>
      </c>
      <c r="R67" t="s">
        <v>142</v>
      </c>
    </row>
    <row r="68" spans="16:29" x14ac:dyDescent="0.2">
      <c r="P68" t="s">
        <v>143</v>
      </c>
      <c r="Q68">
        <v>1382</v>
      </c>
      <c r="R68" t="s">
        <v>142</v>
      </c>
    </row>
    <row r="69" spans="16:29" x14ac:dyDescent="0.2">
      <c r="P69" t="s">
        <v>144</v>
      </c>
      <c r="Q69">
        <v>40</v>
      </c>
      <c r="R69" t="s">
        <v>142</v>
      </c>
      <c r="S69" t="s">
        <v>149</v>
      </c>
      <c r="T69" s="101" t="s">
        <v>151</v>
      </c>
      <c r="X69" t="s">
        <v>152</v>
      </c>
      <c r="Y69">
        <v>646</v>
      </c>
    </row>
    <row r="70" spans="16:29" x14ac:dyDescent="0.2">
      <c r="X70" s="101" t="s">
        <v>153</v>
      </c>
      <c r="Y70" s="101">
        <v>2627</v>
      </c>
      <c r="Z70" s="101" t="s">
        <v>159</v>
      </c>
      <c r="AA70" s="101"/>
    </row>
    <row r="71" spans="16:29" x14ac:dyDescent="0.2">
      <c r="Y71">
        <f>SUM(Y69:Y70)</f>
        <v>3273</v>
      </c>
    </row>
    <row r="74" spans="16:29" x14ac:dyDescent="0.2">
      <c r="P74" t="s">
        <v>122</v>
      </c>
      <c r="Q74">
        <f>SUM(Q52:Q69)</f>
        <v>9584</v>
      </c>
      <c r="S74" t="s">
        <v>145</v>
      </c>
    </row>
    <row r="75" spans="16:29" x14ac:dyDescent="0.2">
      <c r="S75" t="s">
        <v>146</v>
      </c>
    </row>
    <row r="76" spans="16:29" x14ac:dyDescent="0.2">
      <c r="S76" t="s">
        <v>147</v>
      </c>
      <c r="X76" s="101" t="s">
        <v>154</v>
      </c>
      <c r="Y76" s="101">
        <v>3516</v>
      </c>
      <c r="Z76" s="101" t="s">
        <v>160</v>
      </c>
      <c r="AA76" s="101">
        <v>2373</v>
      </c>
      <c r="AB76" s="101" t="s">
        <v>161</v>
      </c>
      <c r="AC76" s="101">
        <v>1143</v>
      </c>
    </row>
    <row r="77" spans="16:29" x14ac:dyDescent="0.2">
      <c r="S77" s="1" t="s">
        <v>148</v>
      </c>
      <c r="X77" t="s">
        <v>155</v>
      </c>
      <c r="Y77">
        <v>900</v>
      </c>
    </row>
    <row r="79" spans="16:29" x14ac:dyDescent="0.2">
      <c r="U79" t="s">
        <v>157</v>
      </c>
      <c r="X79" s="1" t="s">
        <v>156</v>
      </c>
      <c r="Y79" s="1">
        <v>1143</v>
      </c>
    </row>
  </sheetData>
  <phoneticPr fontId="4" type="noConversion"/>
  <conditionalFormatting sqref="M41:V42">
    <cfRule type="cellIs" dxfId="9" priority="2" operator="greaterThan">
      <formula>0</formula>
    </cfRule>
    <cfRule type="cellIs" dxfId="8" priority="3" operator="lessThan">
      <formula>0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sheetPr codeName="Sheet2"/>
  <dimension ref="A1:W15"/>
  <sheetViews>
    <sheetView showGridLines="0" zoomScale="137" workbookViewId="0">
      <selection activeCell="U20" sqref="U20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hidden="1" customWidth="1"/>
    <col min="11" max="11" width="15.83203125" hidden="1" customWidth="1"/>
    <col min="12" max="12" width="0" hidden="1" customWidth="1"/>
    <col min="13" max="18" width="16.83203125" hidden="1" customWidth="1"/>
    <col min="19" max="23" width="16.83203125" customWidth="1"/>
  </cols>
  <sheetData>
    <row r="1" spans="1:23" ht="17" thickBot="1" x14ac:dyDescent="0.25">
      <c r="A1" s="6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63" t="s">
        <v>96</v>
      </c>
      <c r="L1" s="83" t="s">
        <v>52</v>
      </c>
      <c r="M1" s="83" t="s">
        <v>53</v>
      </c>
      <c r="N1" s="83" t="s">
        <v>54</v>
      </c>
      <c r="O1" s="83" t="s">
        <v>55</v>
      </c>
      <c r="P1" s="83" t="s">
        <v>57</v>
      </c>
      <c r="Q1" s="83" t="s">
        <v>56</v>
      </c>
      <c r="R1" s="83" t="s">
        <v>58</v>
      </c>
      <c r="S1" s="83" t="s">
        <v>59</v>
      </c>
      <c r="T1" s="83" t="s">
        <v>60</v>
      </c>
      <c r="U1" s="83" t="s">
        <v>61</v>
      </c>
      <c r="V1" s="83" t="s">
        <v>62</v>
      </c>
      <c r="W1" s="83" t="s">
        <v>63</v>
      </c>
    </row>
    <row r="2" spans="1:23" s="2" customFormat="1" ht="22" x14ac:dyDescent="0.3">
      <c r="A2" s="43" t="s">
        <v>50</v>
      </c>
      <c r="B2" s="43" t="s">
        <v>37</v>
      </c>
      <c r="C2" s="23">
        <v>11000</v>
      </c>
      <c r="D2" s="23">
        <v>11000</v>
      </c>
      <c r="E2" s="23">
        <v>8800</v>
      </c>
      <c r="F2" s="23">
        <v>8800</v>
      </c>
      <c r="G2" s="23">
        <v>8800</v>
      </c>
      <c r="H2" s="23">
        <v>8800</v>
      </c>
      <c r="I2" s="23">
        <v>8800</v>
      </c>
      <c r="J2" s="23">
        <v>11300</v>
      </c>
      <c r="K2" s="23">
        <v>11300</v>
      </c>
      <c r="L2" s="81"/>
      <c r="M2" s="85">
        <v>8800</v>
      </c>
      <c r="N2" s="85">
        <v>9550</v>
      </c>
      <c r="O2" s="21">
        <v>10300</v>
      </c>
      <c r="P2" s="21">
        <v>10300</v>
      </c>
      <c r="Q2" s="21">
        <v>10300</v>
      </c>
      <c r="R2" s="21">
        <v>10300</v>
      </c>
      <c r="S2" s="21">
        <v>10300</v>
      </c>
      <c r="T2" s="23">
        <v>10300</v>
      </c>
      <c r="U2" s="23">
        <v>10300</v>
      </c>
      <c r="V2" s="23">
        <v>10300</v>
      </c>
      <c r="W2" s="23">
        <v>10300</v>
      </c>
    </row>
    <row r="3" spans="1:23" s="2" customFormat="1" ht="22" x14ac:dyDescent="0.3">
      <c r="A3" s="53" t="s">
        <v>50</v>
      </c>
      <c r="B3" s="53" t="s">
        <v>90</v>
      </c>
      <c r="C3" s="23"/>
      <c r="D3" s="23"/>
      <c r="E3" s="23"/>
      <c r="F3" s="23"/>
      <c r="G3" s="23"/>
      <c r="H3" s="23"/>
      <c r="I3" s="23"/>
      <c r="J3" s="23"/>
      <c r="K3" s="89"/>
      <c r="L3" s="89"/>
      <c r="M3" s="90">
        <v>350</v>
      </c>
      <c r="N3" s="90">
        <v>726</v>
      </c>
      <c r="O3" s="106">
        <v>125</v>
      </c>
      <c r="P3" s="106">
        <f>O15</f>
        <v>84</v>
      </c>
      <c r="Q3" s="106">
        <v>30</v>
      </c>
      <c r="R3" s="106">
        <v>33</v>
      </c>
      <c r="S3" s="89">
        <v>34</v>
      </c>
      <c r="T3" s="89">
        <f>S15</f>
        <v>184</v>
      </c>
      <c r="U3" s="89">
        <f>T15</f>
        <v>334</v>
      </c>
      <c r="V3" s="89">
        <f>U15</f>
        <v>484</v>
      </c>
      <c r="W3" s="89">
        <f>V15</f>
        <v>634</v>
      </c>
    </row>
    <row r="4" spans="1:23" s="3" customFormat="1" ht="22" x14ac:dyDescent="0.3">
      <c r="A4" s="42" t="s">
        <v>51</v>
      </c>
      <c r="B4" s="39" t="s">
        <v>9</v>
      </c>
      <c r="C4" s="40">
        <v>2000</v>
      </c>
      <c r="D4" s="40">
        <v>2000</v>
      </c>
      <c r="E4" s="40">
        <v>500</v>
      </c>
      <c r="F4" s="40">
        <v>500</v>
      </c>
      <c r="G4" s="40">
        <v>500</v>
      </c>
      <c r="H4" s="40">
        <v>500</v>
      </c>
      <c r="I4" s="40">
        <v>700</v>
      </c>
      <c r="J4" s="40">
        <v>2200</v>
      </c>
      <c r="K4" s="40">
        <v>2200</v>
      </c>
      <c r="L4" s="81"/>
      <c r="M4" s="87">
        <v>900</v>
      </c>
      <c r="N4" s="87">
        <v>1500</v>
      </c>
      <c r="O4" s="79">
        <v>2000</v>
      </c>
      <c r="P4" s="79">
        <v>2043</v>
      </c>
      <c r="Q4" s="79">
        <v>2000</v>
      </c>
      <c r="R4" s="40">
        <v>1900</v>
      </c>
      <c r="S4" s="40">
        <v>2000</v>
      </c>
      <c r="T4" s="40">
        <v>2000</v>
      </c>
      <c r="U4" s="40">
        <v>2000</v>
      </c>
      <c r="V4" s="40">
        <v>2000</v>
      </c>
      <c r="W4" s="40">
        <v>2000</v>
      </c>
    </row>
    <row r="5" spans="1:23" s="3" customFormat="1" ht="22" x14ac:dyDescent="0.3">
      <c r="A5" s="39" t="s">
        <v>51</v>
      </c>
      <c r="B5" s="41" t="s">
        <v>0</v>
      </c>
      <c r="C5" s="37">
        <v>7700</v>
      </c>
      <c r="D5" s="37">
        <v>7700</v>
      </c>
      <c r="E5" s="37">
        <v>7000</v>
      </c>
      <c r="F5" s="37">
        <v>6800</v>
      </c>
      <c r="G5" s="37">
        <v>7000</v>
      </c>
      <c r="H5" s="37">
        <v>7300</v>
      </c>
      <c r="I5" s="37">
        <v>7750</v>
      </c>
      <c r="J5" s="37">
        <v>8000</v>
      </c>
      <c r="K5" s="37">
        <v>8000</v>
      </c>
      <c r="L5" s="81"/>
      <c r="M5" s="88">
        <v>7700</v>
      </c>
      <c r="N5" s="88">
        <v>8000</v>
      </c>
      <c r="O5" s="80">
        <v>8000</v>
      </c>
      <c r="P5" s="80">
        <v>8000</v>
      </c>
      <c r="Q5" s="80">
        <v>8000</v>
      </c>
      <c r="R5" s="80">
        <v>8000</v>
      </c>
      <c r="S5" s="37">
        <v>7300</v>
      </c>
      <c r="T5" s="37">
        <v>7300</v>
      </c>
      <c r="U5" s="37">
        <v>7300</v>
      </c>
      <c r="V5" s="37">
        <v>7300</v>
      </c>
      <c r="W5" s="37">
        <v>7300</v>
      </c>
    </row>
    <row r="6" spans="1:23" s="3" customFormat="1" ht="22" x14ac:dyDescent="0.3">
      <c r="A6" s="42" t="s">
        <v>51</v>
      </c>
      <c r="B6" s="42" t="s">
        <v>113</v>
      </c>
      <c r="C6" s="40"/>
      <c r="D6" s="40"/>
      <c r="E6" s="40"/>
      <c r="F6" s="40"/>
      <c r="G6" s="40"/>
      <c r="H6" s="40"/>
      <c r="I6" s="40"/>
      <c r="J6" s="40"/>
      <c r="K6" s="99"/>
      <c r="L6" s="99"/>
      <c r="M6" s="99">
        <f>SUMIF(jtrn[Movement], "Credit", jtrn[2025-02-01]) - SUMIF(jtrn[Movement], "Debit", jtrn[2025-02-01])</f>
        <v>10</v>
      </c>
      <c r="N6" s="100">
        <v>75</v>
      </c>
      <c r="O6" s="99">
        <v>75</v>
      </c>
      <c r="P6" s="104">
        <v>75</v>
      </c>
      <c r="Q6" s="99">
        <v>75</v>
      </c>
      <c r="R6" s="104">
        <v>110</v>
      </c>
      <c r="S6" s="99">
        <v>200</v>
      </c>
      <c r="T6" s="99">
        <v>200</v>
      </c>
      <c r="U6" s="99">
        <v>200</v>
      </c>
      <c r="V6" s="99">
        <v>200</v>
      </c>
      <c r="W6" s="99">
        <v>200</v>
      </c>
    </row>
    <row r="7" spans="1:23" s="38" customFormat="1" ht="22" x14ac:dyDescent="0.3">
      <c r="A7" s="39" t="s">
        <v>51</v>
      </c>
      <c r="B7" s="41" t="s">
        <v>22</v>
      </c>
      <c r="C7" s="37">
        <v>110</v>
      </c>
      <c r="D7" s="37">
        <v>110</v>
      </c>
      <c r="E7" s="37">
        <v>110</v>
      </c>
      <c r="F7" s="37">
        <v>110</v>
      </c>
      <c r="G7" s="37">
        <v>110</v>
      </c>
      <c r="H7" s="37">
        <v>110</v>
      </c>
      <c r="I7" s="37">
        <v>110</v>
      </c>
      <c r="J7" s="37">
        <v>110</v>
      </c>
      <c r="K7" s="37">
        <v>110</v>
      </c>
      <c r="L7" s="81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</row>
    <row r="8" spans="1:23" s="38" customFormat="1" ht="22" x14ac:dyDescent="0.3">
      <c r="A8" s="39" t="s">
        <v>51</v>
      </c>
      <c r="B8" s="36" t="s">
        <v>80</v>
      </c>
      <c r="C8" s="37">
        <v>900</v>
      </c>
      <c r="D8" s="37">
        <v>900</v>
      </c>
      <c r="E8" s="37">
        <v>900</v>
      </c>
      <c r="F8" s="37">
        <v>900</v>
      </c>
      <c r="G8" s="37"/>
      <c r="H8" s="37"/>
      <c r="I8" s="37"/>
      <c r="J8" s="37"/>
      <c r="K8" s="37"/>
      <c r="L8" s="81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</row>
    <row r="9" spans="1:23" s="3" customFormat="1" ht="22" x14ac:dyDescent="0.3">
      <c r="A9" s="39" t="s">
        <v>51</v>
      </c>
      <c r="B9" s="41" t="s">
        <v>18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81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</row>
    <row r="10" spans="1:23" s="3" customFormat="1" ht="22" x14ac:dyDescent="0.3">
      <c r="A10" s="39" t="s">
        <v>51</v>
      </c>
      <c r="B10" s="42" t="s">
        <v>86</v>
      </c>
      <c r="C10" s="40">
        <v>0</v>
      </c>
      <c r="D10" s="40">
        <v>200</v>
      </c>
      <c r="E10" s="40">
        <v>200</v>
      </c>
      <c r="F10" s="40">
        <v>200</v>
      </c>
      <c r="G10" s="40">
        <v>200</v>
      </c>
      <c r="H10" s="40">
        <v>200</v>
      </c>
      <c r="I10" s="40">
        <v>200</v>
      </c>
      <c r="J10" s="40">
        <v>200</v>
      </c>
      <c r="K10" s="40">
        <v>200</v>
      </c>
      <c r="L10" s="81"/>
      <c r="M10" s="87">
        <v>200</v>
      </c>
      <c r="N10" s="79">
        <v>250</v>
      </c>
      <c r="O10" s="79">
        <v>250</v>
      </c>
      <c r="P10" s="79">
        <v>300</v>
      </c>
      <c r="Q10" s="40">
        <v>200</v>
      </c>
      <c r="R10" s="40">
        <v>200</v>
      </c>
      <c r="S10" s="40">
        <v>150</v>
      </c>
      <c r="T10" s="40">
        <v>150</v>
      </c>
      <c r="U10" s="40">
        <v>150</v>
      </c>
      <c r="V10" s="40">
        <v>150</v>
      </c>
      <c r="W10" s="40">
        <v>150</v>
      </c>
    </row>
    <row r="11" spans="1:23" s="3" customFormat="1" ht="22" x14ac:dyDescent="0.3">
      <c r="A11" s="42" t="s">
        <v>51</v>
      </c>
      <c r="B11" s="42" t="s">
        <v>83</v>
      </c>
      <c r="C11" s="40"/>
      <c r="D11" s="40"/>
      <c r="E11" s="40"/>
      <c r="F11" s="40"/>
      <c r="G11" s="40"/>
      <c r="H11" s="40">
        <v>607</v>
      </c>
      <c r="I11" s="40"/>
      <c r="J11" s="40"/>
      <c r="K11" s="40"/>
      <c r="L11" s="81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</row>
    <row r="12" spans="1:23" s="3" customFormat="1" ht="22" x14ac:dyDescent="0.3">
      <c r="A12" s="42" t="s">
        <v>51</v>
      </c>
      <c r="B12" s="42" t="s">
        <v>240</v>
      </c>
      <c r="C12" s="40"/>
      <c r="D12" s="40"/>
      <c r="E12" s="40"/>
      <c r="F12" s="40"/>
      <c r="G12" s="40"/>
      <c r="H12" s="40"/>
      <c r="I12" s="40"/>
      <c r="J12" s="40"/>
      <c r="K12" s="99"/>
      <c r="L12" s="99"/>
      <c r="M12" s="99">
        <f>SUMIF(jtrn[Movement], "Credit", jtrn[2025-02-01]) - SUMIF(jtrn[Movement], "Debit", jtrn[2025-02-01])</f>
        <v>10</v>
      </c>
      <c r="N12" s="99">
        <f>SUMIF(jtrn[Movement], "Credit", jtrn[2025-03-01]) - SUMIF(jtrn[Movement], "Debit", jtrn[2025-03-01])</f>
        <v>614</v>
      </c>
      <c r="O12" s="99">
        <f>SUMIF(jtrn[Movement], "Credit", jtrn[2025-04-01]) - SUMIF(jtrn[Movement], "Debit", jtrn[2025-04-01])</f>
        <v>16</v>
      </c>
      <c r="P12" s="99">
        <f>SUMIF(jtrn[Movement], "Credit", jtrn[2025-05-01]) - SUMIF(jtrn[Movement], "Debit", jtrn[2025-05-01])</f>
        <v>530</v>
      </c>
      <c r="Q12" s="99">
        <f>SUMIF(jtrn[Movement], "Credit", jtrn[2025-06-01]) - SUMIF(jtrn[Movement], "Debit", jtrn[2025-06-01])</f>
        <v>1359</v>
      </c>
      <c r="R12" s="99">
        <f>SUMIF(jtrn[Movement], "Credit", jtrn[2025-07-01]) - SUMIF(jtrn[Movement], "Debit", jtrn[2025-07-01])</f>
        <v>135</v>
      </c>
      <c r="S12" s="99">
        <v>500</v>
      </c>
      <c r="T12" s="99">
        <v>500</v>
      </c>
      <c r="U12" s="99">
        <v>500</v>
      </c>
      <c r="V12" s="99">
        <v>500</v>
      </c>
      <c r="W12" s="99">
        <v>500</v>
      </c>
    </row>
    <row r="13" spans="1:23" s="3" customFormat="1" ht="22" x14ac:dyDescent="0.3">
      <c r="A13" s="42" t="s">
        <v>51</v>
      </c>
      <c r="B13" s="42" t="s">
        <v>17</v>
      </c>
      <c r="C13" s="40"/>
      <c r="D13" s="40"/>
      <c r="E13" s="40"/>
      <c r="F13" s="40"/>
      <c r="G13" s="40"/>
      <c r="H13" s="40"/>
      <c r="I13" s="40"/>
      <c r="J13" s="40"/>
      <c r="K13" s="99"/>
      <c r="L13" s="99"/>
      <c r="M13" s="99">
        <f>SUMIF(jtrn[Movement], "Credit", jtrn[2025-02-01]) - SUMIF(jtrn[Movement], "Debit", jtrn[2025-02-01])</f>
        <v>10</v>
      </c>
      <c r="N13" s="100">
        <v>320</v>
      </c>
      <c r="O13" s="99"/>
      <c r="P13" s="99"/>
      <c r="Q13" s="99"/>
      <c r="R13" s="99"/>
      <c r="S13" s="99"/>
      <c r="T13" s="99"/>
      <c r="U13" s="99"/>
      <c r="V13" s="99"/>
      <c r="W13" s="99"/>
    </row>
    <row r="14" spans="1:23" s="3" customFormat="1" ht="22" x14ac:dyDescent="0.3">
      <c r="A14" s="42" t="s">
        <v>51</v>
      </c>
      <c r="B14" s="39" t="s">
        <v>24</v>
      </c>
      <c r="C14" s="40">
        <v>0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81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</row>
    <row r="15" spans="1:23" s="46" customFormat="1" ht="22" x14ac:dyDescent="0.3">
      <c r="A15" s="44" t="s">
        <v>77</v>
      </c>
      <c r="B15" s="44" t="s">
        <v>16</v>
      </c>
      <c r="C15" s="45">
        <f>SUMIF(btrn[[Movement]:[Movement]],"Credit", btrn[2024-05-01])-SUMIF(btrn[[Movement]:[Movement]],"Debit",btrn[2024-05-01])</f>
        <v>290</v>
      </c>
      <c r="D15" s="45">
        <f>SUMIF(btrn[[Movement]:[Movement]],"Credit", btrn[2024-06-01])-SUMIF(btrn[[Movement]:[Movement]],"Debit",btrn[2024-06-01])</f>
        <v>90</v>
      </c>
      <c r="E15" s="45">
        <f>SUMIF(btrn[[Movement]:[Movement]],"Credit", btrn[2024-07-01])-SUMIF(btrn[[Movement]:[Movement]],"Debit",btrn[2024-07-01])</f>
        <v>90</v>
      </c>
      <c r="F15" s="45">
        <f>SUMIF(btrn[[Movement]:[Movement]],"Credit", btrn[2024-08-01])-SUMIF(btrn[[Movement]:[Movement]],"Debit",btrn[2024-08-01])</f>
        <v>290</v>
      </c>
      <c r="G15" s="45">
        <f>SUMIF(btrn[[Movement]:[Movement]],"Credit", btrn[2024-09-01])-SUMIF(btrn[[Movement]:[Movement]],"Debit",btrn[2024-09-01])</f>
        <v>990</v>
      </c>
      <c r="H15" s="45">
        <f>SUMIF(btrn[[Movement]:[Movement]],"Credit", btrn[2024-10-01])-SUMIF(btrn[[Movement]:[Movement]],"Debit",btrn[2024-10-01])</f>
        <v>83</v>
      </c>
      <c r="I15" s="45">
        <f>SUMIF(btrn[[Movement]:[Movement]],"Credit", btrn[2024-11-01])-SUMIF(btrn[[Movement]:[Movement]],"Debit",btrn[2024-11-01])</f>
        <v>40</v>
      </c>
      <c r="J15" s="45">
        <f>SUMIF(btrn[[Movement]:[Movement]],"Credit", btrn[2024-12-01])-SUMIF(btrn[[Movement]:[Movement]],"Debit",btrn[2024-12-01])</f>
        <v>790</v>
      </c>
      <c r="K15" s="45">
        <f>SUMIF(btrn[[Movement]:[Movement]],"Credit", btrn[2024-12-02])-SUMIF(btrn[[Movement]:[Movement]],"Debit",btrn[2024-12-02])</f>
        <v>790</v>
      </c>
      <c r="L15" s="82"/>
      <c r="M15" s="12">
        <f>SUMIF(btrn[Movement], "Credit", btrn[2025-02-01]) - SUMIF(btrn[Movement], "Debit", btrn[2025-02-01])</f>
        <v>320</v>
      </c>
      <c r="N15" s="12">
        <f>SUMIF(btrn[Movement], "Credit", btrn[2025-03-01]) - SUMIF(btrn[Movement], "Debit", btrn[2025-03-01])</f>
        <v>-483</v>
      </c>
      <c r="O15" s="12">
        <f>SUMIF(btrn[Movement], "Credit", btrn[2025-04-01]) - SUMIF(btrn[Movement], "Debit", btrn[2025-04-01])</f>
        <v>84</v>
      </c>
      <c r="P15" s="12">
        <f>SUMIF(btrn[Movement], "Credit", btrn[2025-05-01]) - SUMIF(btrn[Movement], "Debit", btrn[2025-05-01])</f>
        <v>-564</v>
      </c>
      <c r="Q15" s="12">
        <f>SUMIF(btrn[Movement], "Credit", btrn[2025-06-01]) - SUMIF(btrn[Movement], "Debit", btrn[2025-06-01])</f>
        <v>-1304</v>
      </c>
      <c r="R15" s="12">
        <f>SUMIF(btrn[Movement], "Credit", btrn[2025-07-01]) - SUMIF(btrn[Movement], "Debit", btrn[2025-07-01])</f>
        <v>-12</v>
      </c>
      <c r="S15" s="12">
        <f>SUMIF(btrn[Movement], "Credit", btrn[2025-08-01]) - SUMIF(btrn[Movement], "Debit", btrn[2025-08-01])</f>
        <v>184</v>
      </c>
      <c r="T15" s="12">
        <f>SUMIF(btrn[Movement], "Credit", btrn[2025-09-01]) - SUMIF(btrn[Movement], "Debit", btrn[2025-09-01])</f>
        <v>334</v>
      </c>
      <c r="U15" s="12">
        <f>SUMIF(btrn[Movement], "Credit", btrn[2025-10-01]) - SUMIF(btrn[Movement], "Debit", btrn[2025-10-01])</f>
        <v>484</v>
      </c>
      <c r="V15" s="12">
        <f>SUMIF(btrn[Movement], "Credit", btrn[2025-11-01]) - SUMIF(btrn[Movement], "Debit", btrn[2025-11-01])</f>
        <v>634</v>
      </c>
      <c r="W15" s="12">
        <f>SUMIF(btrn[Movement], "Credit", btrn[2025-12-01]) - SUMIF(btrn[Movement], "Debit", btrn[2025-12-01])</f>
        <v>784</v>
      </c>
    </row>
  </sheetData>
  <phoneticPr fontId="4" type="noConversion"/>
  <conditionalFormatting sqref="N15:W15">
    <cfRule type="cellIs" dxfId="7" priority="1" operator="lessThan">
      <formula>0</formula>
    </cfRule>
    <cfRule type="cellIs" dxfId="6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ignoredErrors>
    <ignoredError sqref="M2 M8:W8 N11:W11 M10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6735-C138-F644-A424-ED72186314BD}">
  <sheetPr codeName="Sheet3"/>
  <dimension ref="A1:U17"/>
  <sheetViews>
    <sheetView tabSelected="1" zoomScale="130" zoomScaleNormal="130" workbookViewId="0">
      <selection activeCell="Q16" sqref="Q16"/>
    </sheetView>
  </sheetViews>
  <sheetFormatPr baseColWidth="10" defaultRowHeight="16" x14ac:dyDescent="0.2"/>
  <cols>
    <col min="1" max="1" width="20.1640625" customWidth="1"/>
    <col min="2" max="2" width="29.83203125" bestFit="1" customWidth="1"/>
    <col min="3" max="10" width="16.5" hidden="1" customWidth="1"/>
    <col min="11" max="16" width="18.33203125" hidden="1" customWidth="1"/>
    <col min="17" max="21" width="18.33203125" customWidth="1"/>
  </cols>
  <sheetData>
    <row r="1" spans="1:21" x14ac:dyDescent="0.2">
      <c r="A1" t="s">
        <v>115</v>
      </c>
      <c r="B1" t="s">
        <v>116</v>
      </c>
    </row>
    <row r="2" spans="1:21" x14ac:dyDescent="0.2">
      <c r="A2" t="s">
        <v>117</v>
      </c>
      <c r="B2">
        <v>0.16750000000000001</v>
      </c>
    </row>
    <row r="3" spans="1:21" x14ac:dyDescent="0.2">
      <c r="A3" t="s">
        <v>118</v>
      </c>
      <c r="B3">
        <f>B2/12</f>
        <v>1.3958333333333335E-2</v>
      </c>
    </row>
    <row r="7" spans="1:21" ht="17" thickBot="1" x14ac:dyDescent="0.25">
      <c r="A7" s="6" t="s">
        <v>23</v>
      </c>
      <c r="B7" s="14" t="s">
        <v>49</v>
      </c>
      <c r="C7" s="20" t="s">
        <v>38</v>
      </c>
      <c r="D7" s="20" t="s">
        <v>39</v>
      </c>
      <c r="E7" s="20" t="s">
        <v>41</v>
      </c>
      <c r="F7" s="20" t="s">
        <v>40</v>
      </c>
      <c r="G7" s="20" t="s">
        <v>42</v>
      </c>
      <c r="H7" s="20" t="s">
        <v>43</v>
      </c>
      <c r="I7" s="20" t="s">
        <v>44</v>
      </c>
      <c r="J7" s="20" t="s">
        <v>45</v>
      </c>
      <c r="K7" s="83" t="s">
        <v>53</v>
      </c>
      <c r="L7" s="83" t="s">
        <v>54</v>
      </c>
      <c r="M7" s="83" t="s">
        <v>55</v>
      </c>
      <c r="N7" s="83" t="s">
        <v>57</v>
      </c>
      <c r="O7" s="83" t="s">
        <v>56</v>
      </c>
      <c r="P7" s="83" t="s">
        <v>58</v>
      </c>
      <c r="Q7" s="83" t="s">
        <v>59</v>
      </c>
      <c r="R7" s="83" t="s">
        <v>60</v>
      </c>
      <c r="S7" s="83" t="s">
        <v>61</v>
      </c>
      <c r="T7" s="83" t="s">
        <v>62</v>
      </c>
      <c r="U7" s="83" t="s">
        <v>63</v>
      </c>
    </row>
    <row r="8" spans="1:21" s="2" customFormat="1" ht="22" x14ac:dyDescent="0.3">
      <c r="A8" s="22" t="s">
        <v>50</v>
      </c>
      <c r="B8" s="22" t="s">
        <v>16</v>
      </c>
      <c r="C8" s="21">
        <v>2000</v>
      </c>
      <c r="D8" s="21">
        <v>0</v>
      </c>
      <c r="E8" s="21">
        <v>500</v>
      </c>
      <c r="F8" s="21">
        <v>500</v>
      </c>
      <c r="G8" s="21">
        <v>500</v>
      </c>
      <c r="H8" s="21">
        <v>500</v>
      </c>
      <c r="I8" s="21">
        <v>500</v>
      </c>
      <c r="J8" s="21">
        <v>500</v>
      </c>
      <c r="K8" s="86">
        <v>900</v>
      </c>
      <c r="L8" s="57">
        <v>1500</v>
      </c>
      <c r="M8" s="107">
        <v>2000</v>
      </c>
      <c r="N8" s="57">
        <v>2000</v>
      </c>
      <c r="O8" s="57">
        <v>2000</v>
      </c>
      <c r="P8" s="57">
        <v>2000</v>
      </c>
      <c r="Q8" s="57">
        <v>2000</v>
      </c>
      <c r="R8" s="57">
        <v>2000</v>
      </c>
      <c r="S8" s="57">
        <v>2000</v>
      </c>
      <c r="T8" s="57">
        <v>2000</v>
      </c>
      <c r="U8" s="57">
        <v>2000</v>
      </c>
    </row>
    <row r="9" spans="1:21" s="2" customFormat="1" ht="22" x14ac:dyDescent="0.3">
      <c r="A9" s="15" t="s">
        <v>50</v>
      </c>
      <c r="B9" s="15" t="s">
        <v>90</v>
      </c>
      <c r="C9" s="7"/>
      <c r="D9" s="7"/>
      <c r="E9" s="7"/>
      <c r="F9" s="7"/>
      <c r="G9" s="7"/>
      <c r="H9" s="7"/>
      <c r="I9" s="7"/>
      <c r="J9" s="7"/>
      <c r="K9" s="86">
        <v>-30</v>
      </c>
      <c r="L9" s="57">
        <v>-1319</v>
      </c>
      <c r="M9" s="107">
        <v>-4483</v>
      </c>
      <c r="N9" s="107">
        <v>-3866</v>
      </c>
      <c r="O9" s="57">
        <v>-2824</v>
      </c>
      <c r="P9" s="57">
        <v>-5447</v>
      </c>
      <c r="Q9" s="57">
        <v>-5447</v>
      </c>
      <c r="R9" s="57">
        <f t="shared" ref="Q9:U9" si="0">Q16</f>
        <v>-7495.0310416666671</v>
      </c>
      <c r="S9" s="57">
        <f t="shared" si="0"/>
        <v>-5599.649183289931</v>
      </c>
      <c r="T9" s="57">
        <f t="shared" si="0"/>
        <v>-3677.8109531400196</v>
      </c>
      <c r="U9" s="57">
        <f t="shared" si="0"/>
        <v>-1729.1470643609323</v>
      </c>
    </row>
    <row r="10" spans="1:21" s="3" customFormat="1" ht="22" x14ac:dyDescent="0.3">
      <c r="A10" s="25" t="s">
        <v>51</v>
      </c>
      <c r="B10" s="25" t="s">
        <v>114</v>
      </c>
      <c r="C10" s="51"/>
      <c r="D10" s="51"/>
      <c r="E10" s="51"/>
      <c r="F10" s="51"/>
      <c r="G10" s="51"/>
      <c r="H10" s="51"/>
      <c r="I10" s="51"/>
      <c r="J10" s="51"/>
      <c r="K10" s="52"/>
      <c r="L10" s="52">
        <f>IF(L9 &lt;= 0, (L9*$B$3)*-1, 0)</f>
        <v>18.411041666666669</v>
      </c>
      <c r="M10" s="52">
        <f t="shared" ref="M10:U10" si="1">IF(M9 &lt;= 0, (M9*$B$3)*-1, 0)</f>
        <v>62.575208333333343</v>
      </c>
      <c r="N10" s="52">
        <f t="shared" si="1"/>
        <v>53.962916666666672</v>
      </c>
      <c r="O10" s="52">
        <f t="shared" si="1"/>
        <v>39.418333333333337</v>
      </c>
      <c r="P10" s="52">
        <f>IF(P9 &lt;= 0, (P9*$B$3)*-1, 0)</f>
        <v>76.031041666666681</v>
      </c>
      <c r="Q10" s="52">
        <f>IF(Q9 &lt;= 0, (Q9*$B$3)*-1, 0)</f>
        <v>76.031041666666681</v>
      </c>
      <c r="R10" s="52">
        <f t="shared" si="1"/>
        <v>104.61814162326391</v>
      </c>
      <c r="S10" s="52">
        <f t="shared" si="1"/>
        <v>78.161769850088632</v>
      </c>
      <c r="T10" s="52">
        <f t="shared" si="1"/>
        <v>51.336111220912777</v>
      </c>
      <c r="U10" s="52">
        <f t="shared" si="1"/>
        <v>24.136011106704682</v>
      </c>
    </row>
    <row r="11" spans="1:21" s="3" customFormat="1" ht="22" x14ac:dyDescent="0.3">
      <c r="A11" s="25" t="s">
        <v>51</v>
      </c>
      <c r="B11" s="25" t="s">
        <v>84</v>
      </c>
      <c r="C11" s="51"/>
      <c r="D11" s="51"/>
      <c r="E11" s="51">
        <v>3550</v>
      </c>
      <c r="F11" s="51"/>
      <c r="G11" s="51"/>
      <c r="H11" s="51"/>
      <c r="I11" s="51"/>
      <c r="J11" s="51"/>
      <c r="K11" s="52">
        <v>3500</v>
      </c>
      <c r="L11" s="52">
        <v>0</v>
      </c>
      <c r="M11" s="52"/>
      <c r="N11" s="52"/>
      <c r="O11" s="52"/>
      <c r="P11" s="52"/>
      <c r="Q11" s="52">
        <v>3500</v>
      </c>
      <c r="R11" s="52"/>
      <c r="S11" s="52"/>
      <c r="T11" s="52"/>
      <c r="U11" s="52"/>
    </row>
    <row r="12" spans="1:21" s="3" customFormat="1" ht="22" hidden="1" x14ac:dyDescent="0.3">
      <c r="A12" s="25" t="s">
        <v>51</v>
      </c>
      <c r="B12" s="25" t="s">
        <v>110</v>
      </c>
      <c r="C12" s="51"/>
      <c r="D12" s="51"/>
      <c r="E12" s="51"/>
      <c r="F12" s="51"/>
      <c r="G12" s="51"/>
      <c r="H12" s="51"/>
      <c r="I12" s="51"/>
      <c r="J12" s="51"/>
      <c r="K12" s="91">
        <v>1600</v>
      </c>
      <c r="L12" s="52"/>
      <c r="M12" s="52"/>
      <c r="N12" s="52"/>
      <c r="O12" s="52"/>
      <c r="P12" s="52"/>
      <c r="Q12" s="52"/>
      <c r="R12" s="52"/>
      <c r="S12" s="52"/>
      <c r="T12" s="52"/>
      <c r="U12" s="52"/>
    </row>
    <row r="13" spans="1:21" s="3" customFormat="1" ht="22" x14ac:dyDescent="0.3">
      <c r="A13" s="25" t="s">
        <v>51</v>
      </c>
      <c r="B13" s="36" t="s">
        <v>17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52">
        <v>1000</v>
      </c>
      <c r="L13" s="52"/>
      <c r="M13" s="52"/>
      <c r="N13" s="52"/>
      <c r="O13" s="52"/>
      <c r="P13" s="52">
        <v>300</v>
      </c>
      <c r="Q13" s="52">
        <v>472</v>
      </c>
      <c r="R13" s="52"/>
      <c r="S13" s="52"/>
      <c r="T13" s="52"/>
      <c r="U13" s="52"/>
    </row>
    <row r="14" spans="1:21" s="3" customFormat="1" ht="22" x14ac:dyDescent="0.3">
      <c r="A14" s="25" t="s">
        <v>51</v>
      </c>
      <c r="B14" s="42" t="s">
        <v>163</v>
      </c>
      <c r="C14" s="51"/>
      <c r="D14" s="51"/>
      <c r="E14" s="51"/>
      <c r="F14" s="51"/>
      <c r="G14" s="51"/>
      <c r="H14" s="51"/>
      <c r="I14" s="51"/>
      <c r="J14" s="51"/>
      <c r="K14" s="52"/>
      <c r="L14" s="52">
        <v>1873</v>
      </c>
      <c r="M14" s="52"/>
      <c r="N14" s="52"/>
      <c r="O14" s="52"/>
      <c r="P14" s="52"/>
      <c r="Q14" s="52"/>
      <c r="R14" s="52"/>
      <c r="S14" s="52"/>
      <c r="T14" s="52"/>
      <c r="U14" s="52"/>
    </row>
    <row r="15" spans="1:21" s="3" customFormat="1" ht="22" x14ac:dyDescent="0.3">
      <c r="A15" s="25" t="s">
        <v>51</v>
      </c>
      <c r="B15" s="42" t="s">
        <v>0</v>
      </c>
      <c r="C15" s="51"/>
      <c r="D15" s="51"/>
      <c r="E15" s="51"/>
      <c r="F15" s="51"/>
      <c r="G15" s="51"/>
      <c r="H15" s="51"/>
      <c r="I15" s="51"/>
      <c r="J15" s="51"/>
      <c r="K15" s="52"/>
      <c r="L15" s="52">
        <v>2627</v>
      </c>
      <c r="M15" s="52"/>
      <c r="N15" s="52"/>
      <c r="O15" s="52"/>
      <c r="P15" s="52"/>
      <c r="Q15" s="52"/>
      <c r="R15" s="52"/>
      <c r="S15" s="52"/>
      <c r="T15" s="52"/>
      <c r="U15" s="52"/>
    </row>
    <row r="16" spans="1:21" ht="22" x14ac:dyDescent="0.3">
      <c r="A16" s="32" t="s">
        <v>77</v>
      </c>
      <c r="B16" s="32" t="s">
        <v>9</v>
      </c>
      <c r="C16" s="35">
        <f>SUMIF(bcc_1[[Movement]:[Movement]],"Credit", bcc_1[2024-05-01])-SUMIF(bcc_1[[Movement]:[Movement]],"Debit",bcc_1[2024-05-01])</f>
        <v>2000</v>
      </c>
      <c r="D16" s="35">
        <f>SUMIF(bcc_1[[Movement]:[Movement]],"Credit", bcc_1[2024-06-01])-SUMIF(bcc_1[[Movement]:[Movement]],"Debit",bcc_1[2024-06-01])</f>
        <v>0</v>
      </c>
      <c r="E16" s="35">
        <f>SUMIF(bcc_1[[Movement]:[Movement]],"Credit", bcc_1[2024-07-01])-SUMIF(bcc_1[[Movement]:[Movement]],"Debit",bcc_1[2024-07-01])</f>
        <v>-3050</v>
      </c>
      <c r="F16" s="35">
        <f>SUMIF(bcc_1[[Movement]:[Movement]],"Credit", bcc_1[2024-08-01])-SUMIF(bcc_1[[Movement]:[Movement]],"Debit",bcc_1[2024-08-01])</f>
        <v>500</v>
      </c>
      <c r="G16" s="35">
        <f>SUMIF(bcc_1[[Movement]:[Movement]],"Credit", bcc_1[2024-09-01])-SUMIF(bcc_1[[Movement]:[Movement]],"Debit",bcc_1[2024-09-01])</f>
        <v>500</v>
      </c>
      <c r="H16" s="35">
        <f>SUMIF(bcc_1[[Movement]:[Movement]],"Credit", bcc_1[2024-10-01])-SUMIF(bcc_1[[Movement]:[Movement]],"Debit",bcc_1[2024-10-01])</f>
        <v>500</v>
      </c>
      <c r="I16" s="35">
        <f>SUMIF(bcc_1[[Movement]:[Movement]],"Credit", bcc_1[2024-11-01])-SUMIF(bcc_1[[Movement]:[Movement]],"Debit",bcc_1[2024-11-01])</f>
        <v>500</v>
      </c>
      <c r="J16" s="35">
        <f>SUMIF(bcc_1[[Movement]:[Movement]],"Credit", bcc_1[2024-12-01])-SUMIF(bcc_1[[Movement]:[Movement]],"Debit",bcc_1[2024-12-01])</f>
        <v>500</v>
      </c>
      <c r="K16" s="12">
        <f>SUMIF(bcc_1[Movement], "Credit", bcc_1[2025-02-01]) - SUMIF(bcc_1[Movement], "Debit", bcc_1[2025-02-01])</f>
        <v>-5230</v>
      </c>
      <c r="L16" s="12">
        <f>SUMIF(bcc_1[Movement], "Credit", bcc_1[2025-03-01]) - SUMIF(bcc_1[Movement], "Debit", bcc_1[2025-03-01])</f>
        <v>-4337.4110416666663</v>
      </c>
      <c r="M16" s="12">
        <f>SUMIF(bcc_1[Movement], "Credit", bcc_1[2025-04-01]) - SUMIF(bcc_1[Movement], "Debit", bcc_1[2025-04-01])</f>
        <v>-2545.5752083333332</v>
      </c>
      <c r="N16" s="12">
        <f>SUMIF(bcc_1[Movement], "Credit", bcc_1[2025-05-01]) - SUMIF(bcc_1[Movement], "Debit", bcc_1[2025-05-01])</f>
        <v>-1919.9629166666666</v>
      </c>
      <c r="O16" s="12">
        <f>SUMIF(bcc_1[Movement], "Credit", bcc_1[2025-06-01]) - SUMIF(bcc_1[Movement], "Debit", bcc_1[2025-06-01])</f>
        <v>-863.41833333333329</v>
      </c>
      <c r="P16" s="12">
        <f>SUMIF(bcc_1[Movement], "Credit", bcc_1[2025-07-01]) - SUMIF(bcc_1[Movement], "Debit", bcc_1[2025-07-01])</f>
        <v>-3823.0310416666666</v>
      </c>
      <c r="Q16" s="12">
        <f>SUMIF(bcc_1[Movement], "Credit", bcc_1[2025-08-01]) - SUMIF(bcc_1[Movement], "Debit", bcc_1[2025-08-01])</f>
        <v>-7495.0310416666671</v>
      </c>
      <c r="R16" s="12">
        <f>SUMIF(bcc_1[Movement], "Credit", bcc_1[2025-09-01]) - SUMIF(bcc_1[Movement], "Debit", bcc_1[2025-09-01])</f>
        <v>-5599.649183289931</v>
      </c>
      <c r="S16" s="12">
        <f>SUMIF(bcc_1[Movement], "Credit", bcc_1[2025-10-01]) - SUMIF(bcc_1[Movement], "Debit", bcc_1[2025-10-01])</f>
        <v>-3677.8109531400196</v>
      </c>
      <c r="T16" s="12">
        <f>SUMIF(bcc_1[Movement], "Credit", bcc_1[2025-11-01]) - SUMIF(bcc_1[Movement], "Debit", bcc_1[2025-11-01])</f>
        <v>-1729.1470643609323</v>
      </c>
      <c r="U16" s="12">
        <f>SUMIF(bcc_1[Movement], "Credit", bcc_1[2025-12-01]) - SUMIF(bcc_1[Movement], "Debit", bcc_1[2025-12-01])</f>
        <v>246.71692453236304</v>
      </c>
    </row>
    <row r="17" spans="1:21" ht="22" x14ac:dyDescent="0.3">
      <c r="A17" s="32" t="s">
        <v>119</v>
      </c>
      <c r="B17" s="32" t="s">
        <v>9</v>
      </c>
      <c r="C17" s="12"/>
      <c r="D17" s="12"/>
      <c r="E17" s="12"/>
      <c r="F17" s="12"/>
      <c r="G17" s="12"/>
      <c r="H17" s="12"/>
      <c r="I17" s="12"/>
      <c r="J17" s="12"/>
      <c r="K17" s="84">
        <f>SUMIF(bcc_1[Movement], "Debit", bcc_1[2025-02-01])</f>
        <v>6100</v>
      </c>
      <c r="L17" s="84">
        <f>SUMIF(bcc_1[Movement], "Debit", bcc_1[2025-03-01])</f>
        <v>4518.4110416666663</v>
      </c>
      <c r="M17" s="84">
        <f>SUMIF(bcc_1[Movement], "Debit", bcc_1[2025-04-01])</f>
        <v>62.575208333333343</v>
      </c>
      <c r="N17" s="84">
        <f>SUMIF(bcc_1[Movement], "Debit", bcc_1[2025-05-01])</f>
        <v>53.962916666666672</v>
      </c>
      <c r="O17" s="84">
        <f>SUMIF(bcc_1[Movement], "Debit", bcc_1[2025-06-01])</f>
        <v>39.418333333333337</v>
      </c>
      <c r="P17" s="84">
        <f>SUMIF(bcc_1[Movement], "Debit", bcc_1[2025-07-01])</f>
        <v>376.03104166666668</v>
      </c>
      <c r="Q17" s="84">
        <f>SUMIF(bcc_1[Movement], "Debit", bcc_1[2025-08-01])</f>
        <v>4048.0310416666666</v>
      </c>
      <c r="R17" s="84">
        <f>SUMIF(bcc_1[Movement], "Debit", bcc_1[2025-09-01])</f>
        <v>104.61814162326391</v>
      </c>
      <c r="S17" s="84">
        <f>SUMIF(bcc_1[Movement], "Debit", bcc_1[2025-10-01])</f>
        <v>78.161769850088632</v>
      </c>
      <c r="T17" s="84">
        <f>SUMIF(bcc_1[Movement], "Debit", bcc_1[2025-11-01])</f>
        <v>51.336111220912777</v>
      </c>
      <c r="U17" s="84">
        <f>SUMIF(bcc_1[Movement], "Debit", bcc_1[2025-12-01])</f>
        <v>24.136011106704682</v>
      </c>
    </row>
  </sheetData>
  <conditionalFormatting sqref="A16:XFD16">
    <cfRule type="cellIs" dxfId="5" priority="1" operator="lessThan">
      <formula>0</formula>
    </cfRule>
    <cfRule type="cellIs" dxfId="4" priority="2" stopIfTrue="1" operator="greaterThan">
      <formula>0</formula>
    </cfRule>
  </conditionalFormatting>
  <pageMargins left="0.7" right="0.7" top="0.75" bottom="0.75" header="0.3" footer="0.3"/>
  <pageSetup paperSize="9" orientation="portrait" horizontalDpi="0" verticalDpi="0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75A7-4982-0143-90A4-7D7E17A0DFF0}">
  <sheetPr codeName="Sheet4"/>
  <dimension ref="A1:U18"/>
  <sheetViews>
    <sheetView zoomScale="140" zoomScaleNormal="140" workbookViewId="0">
      <selection activeCell="Q16" sqref="Q16"/>
    </sheetView>
  </sheetViews>
  <sheetFormatPr baseColWidth="10" defaultRowHeight="16" x14ac:dyDescent="0.2"/>
  <cols>
    <col min="1" max="1" width="20.1640625" customWidth="1"/>
    <col min="2" max="2" width="29.83203125" bestFit="1" customWidth="1"/>
    <col min="3" max="10" width="16.5" hidden="1" customWidth="1"/>
    <col min="11" max="12" width="18.33203125" hidden="1" customWidth="1"/>
    <col min="13" max="21" width="18.33203125" customWidth="1"/>
  </cols>
  <sheetData>
    <row r="1" spans="1:21" x14ac:dyDescent="0.2">
      <c r="A1" t="s">
        <v>115</v>
      </c>
      <c r="B1" t="s">
        <v>116</v>
      </c>
    </row>
    <row r="2" spans="1:21" x14ac:dyDescent="0.2">
      <c r="A2" t="s">
        <v>117</v>
      </c>
      <c r="B2">
        <v>0.21149999999999999</v>
      </c>
    </row>
    <row r="3" spans="1:21" x14ac:dyDescent="0.2">
      <c r="A3" t="s">
        <v>118</v>
      </c>
      <c r="B3">
        <f>B2/12</f>
        <v>1.7624999999999998E-2</v>
      </c>
    </row>
    <row r="7" spans="1:21" ht="17" thickBot="1" x14ac:dyDescent="0.25">
      <c r="A7" s="6" t="s">
        <v>23</v>
      </c>
      <c r="B7" s="14" t="s">
        <v>49</v>
      </c>
      <c r="C7" s="20" t="s">
        <v>38</v>
      </c>
      <c r="D7" s="20" t="s">
        <v>39</v>
      </c>
      <c r="E7" s="20" t="s">
        <v>41</v>
      </c>
      <c r="F7" s="20" t="s">
        <v>40</v>
      </c>
      <c r="G7" s="20" t="s">
        <v>42</v>
      </c>
      <c r="H7" s="20" t="s">
        <v>43</v>
      </c>
      <c r="I7" s="20" t="s">
        <v>44</v>
      </c>
      <c r="J7" s="20" t="s">
        <v>45</v>
      </c>
      <c r="K7" s="83" t="s">
        <v>53</v>
      </c>
      <c r="L7" s="83" t="s">
        <v>54</v>
      </c>
      <c r="M7" s="105" t="s">
        <v>174</v>
      </c>
      <c r="N7" s="83" t="s">
        <v>57</v>
      </c>
      <c r="O7" s="83" t="s">
        <v>56</v>
      </c>
      <c r="P7" s="83" t="s">
        <v>58</v>
      </c>
      <c r="Q7" s="83" t="s">
        <v>59</v>
      </c>
      <c r="R7" s="83" t="s">
        <v>60</v>
      </c>
      <c r="S7" s="83" t="s">
        <v>61</v>
      </c>
      <c r="T7" s="83" t="s">
        <v>62</v>
      </c>
      <c r="U7" s="83" t="s">
        <v>63</v>
      </c>
    </row>
    <row r="8" spans="1:21" s="2" customFormat="1" ht="22" x14ac:dyDescent="0.3">
      <c r="A8" s="22" t="s">
        <v>50</v>
      </c>
      <c r="B8" s="22" t="s">
        <v>0</v>
      </c>
      <c r="C8" s="21">
        <v>2000</v>
      </c>
      <c r="D8" s="21">
        <v>0</v>
      </c>
      <c r="E8" s="21">
        <v>500</v>
      </c>
      <c r="F8" s="21">
        <v>500</v>
      </c>
      <c r="G8" s="21">
        <v>500</v>
      </c>
      <c r="H8" s="21">
        <v>500</v>
      </c>
      <c r="I8" s="21">
        <v>500</v>
      </c>
      <c r="J8" s="21">
        <v>500</v>
      </c>
      <c r="K8" s="86">
        <v>1000</v>
      </c>
      <c r="L8" s="57">
        <v>2000</v>
      </c>
      <c r="M8" s="57">
        <v>1700</v>
      </c>
      <c r="N8" s="57">
        <v>1700</v>
      </c>
      <c r="O8" s="57">
        <v>2000</v>
      </c>
      <c r="P8" s="57">
        <v>2000</v>
      </c>
      <c r="Q8" s="57">
        <v>2000</v>
      </c>
      <c r="R8" s="57">
        <v>2000</v>
      </c>
      <c r="S8" s="57">
        <v>2000</v>
      </c>
      <c r="T8" s="57">
        <v>2000</v>
      </c>
      <c r="U8" s="57">
        <v>2000</v>
      </c>
    </row>
    <row r="9" spans="1:21" s="2" customFormat="1" ht="22" x14ac:dyDescent="0.3">
      <c r="A9" s="15" t="s">
        <v>50</v>
      </c>
      <c r="B9" s="15" t="s">
        <v>90</v>
      </c>
      <c r="C9" s="7"/>
      <c r="D9" s="7"/>
      <c r="E9" s="7"/>
      <c r="F9" s="7"/>
      <c r="G9" s="7"/>
      <c r="H9" s="7"/>
      <c r="I9" s="7"/>
      <c r="J9" s="7"/>
      <c r="K9" s="86">
        <v>-9156</v>
      </c>
      <c r="L9" s="57">
        <v>-9500</v>
      </c>
      <c r="M9" s="57">
        <v>-9346</v>
      </c>
      <c r="N9" s="57">
        <f t="shared" ref="N9:U9" si="0">M17</f>
        <v>-8679.7232499999991</v>
      </c>
      <c r="O9" s="57">
        <f t="shared" si="0"/>
        <v>-8001.7033722812494</v>
      </c>
      <c r="P9" s="57">
        <f t="shared" si="0"/>
        <v>-7011.7333942177065</v>
      </c>
      <c r="Q9" s="57">
        <f t="shared" si="0"/>
        <v>-6004.3151952907938</v>
      </c>
      <c r="R9" s="57">
        <f t="shared" si="0"/>
        <v>-4979.1412506077941</v>
      </c>
      <c r="S9" s="57">
        <f t="shared" si="0"/>
        <v>-3935.8986151497566</v>
      </c>
      <c r="T9" s="57">
        <f t="shared" si="0"/>
        <v>-2874.2688282417712</v>
      </c>
      <c r="U9" s="57">
        <f t="shared" si="0"/>
        <v>-1793.9278163395325</v>
      </c>
    </row>
    <row r="10" spans="1:21" s="3" customFormat="1" ht="22" x14ac:dyDescent="0.3">
      <c r="A10" s="25" t="s">
        <v>51</v>
      </c>
      <c r="B10" s="25" t="s">
        <v>114</v>
      </c>
      <c r="C10" s="51"/>
      <c r="D10" s="51"/>
      <c r="E10" s="51"/>
      <c r="F10" s="51"/>
      <c r="G10" s="51"/>
      <c r="H10" s="51"/>
      <c r="I10" s="51"/>
      <c r="J10" s="51"/>
      <c r="K10" s="52"/>
      <c r="L10" s="52">
        <f>IF(L9 &lt;= 0, (L9*$B$3)*-1, 0)</f>
        <v>167.43749999999997</v>
      </c>
      <c r="M10" s="52">
        <f t="shared" ref="M10:U10" si="1">IF(M9 &lt;= 0, (M9*$B$3)*-1, 0)</f>
        <v>164.72324999999998</v>
      </c>
      <c r="N10" s="52">
        <f t="shared" si="1"/>
        <v>152.98012228124998</v>
      </c>
      <c r="O10" s="52">
        <f t="shared" si="1"/>
        <v>141.03002193645702</v>
      </c>
      <c r="P10" s="52">
        <f t="shared" si="1"/>
        <v>123.58180107308706</v>
      </c>
      <c r="Q10" s="52">
        <f t="shared" si="1"/>
        <v>105.82605531700023</v>
      </c>
      <c r="R10" s="52">
        <f t="shared" si="1"/>
        <v>87.75736454196236</v>
      </c>
      <c r="S10" s="52">
        <f t="shared" si="1"/>
        <v>69.370213092014453</v>
      </c>
      <c r="T10" s="52">
        <f t="shared" si="1"/>
        <v>50.65898809776121</v>
      </c>
      <c r="U10" s="52">
        <f t="shared" si="1"/>
        <v>31.617977762984257</v>
      </c>
    </row>
    <row r="11" spans="1:21" s="3" customFormat="1" ht="22" x14ac:dyDescent="0.3">
      <c r="A11" s="25" t="s">
        <v>51</v>
      </c>
      <c r="B11" s="25" t="s">
        <v>12</v>
      </c>
      <c r="C11" s="51"/>
      <c r="D11" s="51"/>
      <c r="E11" s="51">
        <v>3550</v>
      </c>
      <c r="F11" s="51"/>
      <c r="G11" s="51"/>
      <c r="H11" s="51"/>
      <c r="I11" s="51"/>
      <c r="J11" s="51"/>
      <c r="K11" s="52">
        <v>230</v>
      </c>
      <c r="L11" s="52">
        <v>230</v>
      </c>
      <c r="M11" s="52">
        <v>230</v>
      </c>
      <c r="N11" s="52">
        <v>230</v>
      </c>
      <c r="O11" s="52">
        <v>230</v>
      </c>
      <c r="P11" s="52">
        <v>230</v>
      </c>
      <c r="Q11" s="52">
        <v>230</v>
      </c>
      <c r="R11" s="52">
        <v>230</v>
      </c>
      <c r="S11" s="52">
        <v>230</v>
      </c>
      <c r="T11" s="52">
        <v>230</v>
      </c>
      <c r="U11" s="52">
        <v>230</v>
      </c>
    </row>
    <row r="12" spans="1:21" s="3" customFormat="1" ht="22" x14ac:dyDescent="0.3">
      <c r="A12" s="25" t="s">
        <v>51</v>
      </c>
      <c r="B12" s="25" t="s">
        <v>11</v>
      </c>
      <c r="C12" s="51"/>
      <c r="D12" s="51"/>
      <c r="E12" s="51"/>
      <c r="F12" s="51"/>
      <c r="G12" s="51"/>
      <c r="H12" s="51"/>
      <c r="I12" s="51"/>
      <c r="J12" s="51"/>
      <c r="K12" s="52">
        <v>199</v>
      </c>
      <c r="L12" s="52">
        <v>199</v>
      </c>
      <c r="M12" s="52">
        <v>199</v>
      </c>
      <c r="N12" s="52">
        <v>199</v>
      </c>
      <c r="O12" s="52">
        <v>199</v>
      </c>
      <c r="P12" s="52">
        <v>199</v>
      </c>
      <c r="Q12" s="52">
        <v>199</v>
      </c>
      <c r="R12" s="52">
        <v>199</v>
      </c>
      <c r="S12" s="52">
        <v>199</v>
      </c>
      <c r="T12" s="52">
        <v>199</v>
      </c>
      <c r="U12" s="52">
        <v>199</v>
      </c>
    </row>
    <row r="13" spans="1:21" s="3" customFormat="1" ht="22" x14ac:dyDescent="0.3">
      <c r="A13" s="25" t="s">
        <v>51</v>
      </c>
      <c r="B13" s="36" t="s">
        <v>111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52">
        <v>115</v>
      </c>
      <c r="L13" s="52">
        <v>115</v>
      </c>
      <c r="M13" s="52">
        <v>115</v>
      </c>
      <c r="N13" s="52">
        <v>115</v>
      </c>
      <c r="O13" s="52">
        <v>115</v>
      </c>
      <c r="P13" s="52">
        <v>115</v>
      </c>
      <c r="Q13" s="52">
        <v>115</v>
      </c>
      <c r="R13" s="52">
        <v>115</v>
      </c>
      <c r="S13" s="52">
        <v>115</v>
      </c>
      <c r="T13" s="52">
        <v>115</v>
      </c>
      <c r="U13" s="52">
        <v>115</v>
      </c>
    </row>
    <row r="14" spans="1:21" s="3" customFormat="1" ht="22" x14ac:dyDescent="0.3">
      <c r="A14" s="25" t="s">
        <v>51</v>
      </c>
      <c r="B14" s="42" t="s">
        <v>113</v>
      </c>
      <c r="C14" s="51"/>
      <c r="D14" s="51"/>
      <c r="E14" s="51"/>
      <c r="F14" s="51"/>
      <c r="G14" s="51"/>
      <c r="H14" s="51"/>
      <c r="I14" s="51"/>
      <c r="J14" s="51"/>
      <c r="K14" s="52">
        <v>105</v>
      </c>
      <c r="L14" s="52">
        <v>150</v>
      </c>
      <c r="M14" s="52">
        <v>150</v>
      </c>
      <c r="N14" s="52">
        <v>150</v>
      </c>
      <c r="O14" s="52">
        <v>150</v>
      </c>
      <c r="P14" s="52">
        <v>150</v>
      </c>
      <c r="Q14" s="52">
        <v>150</v>
      </c>
      <c r="R14" s="52">
        <v>150</v>
      </c>
      <c r="S14" s="52">
        <v>150</v>
      </c>
      <c r="T14" s="52">
        <v>150</v>
      </c>
      <c r="U14" s="52">
        <v>150</v>
      </c>
    </row>
    <row r="15" spans="1:21" s="3" customFormat="1" ht="22" x14ac:dyDescent="0.3">
      <c r="A15" s="25" t="s">
        <v>51</v>
      </c>
      <c r="B15" s="42" t="s">
        <v>17</v>
      </c>
      <c r="C15" s="51"/>
      <c r="D15" s="51"/>
      <c r="E15" s="51"/>
      <c r="F15" s="51"/>
      <c r="G15" s="51"/>
      <c r="H15" s="51"/>
      <c r="I15" s="51"/>
      <c r="J15" s="51"/>
      <c r="K15" s="52">
        <f>SUMIF(btrn[Movement], "Credit", btrn[2025-02-01]) - SUMIF(btrn[Movement], "Debit", btrn[2025-02-01])</f>
        <v>320</v>
      </c>
      <c r="L15" s="52">
        <f>SUMIF(btrn[Movement], "Credit", btrn[2025-03-01]) - SUMIF(btrn[Movement], "Debit", btrn[2025-03-01])</f>
        <v>-483</v>
      </c>
      <c r="M15" s="52"/>
      <c r="N15" s="52"/>
      <c r="O15" s="52"/>
      <c r="P15" s="52"/>
      <c r="Q15" s="52"/>
      <c r="R15" s="52"/>
      <c r="S15" s="52"/>
      <c r="T15" s="52"/>
      <c r="U15" s="52"/>
    </row>
    <row r="16" spans="1:21" s="3" customFormat="1" ht="22" x14ac:dyDescent="0.3">
      <c r="A16" s="25" t="s">
        <v>51</v>
      </c>
      <c r="B16" s="42" t="s">
        <v>112</v>
      </c>
      <c r="C16" s="51"/>
      <c r="D16" s="51"/>
      <c r="E16" s="51"/>
      <c r="F16" s="51"/>
      <c r="G16" s="51"/>
      <c r="H16" s="51"/>
      <c r="I16" s="51"/>
      <c r="J16" s="51"/>
      <c r="K16" s="52">
        <v>175</v>
      </c>
      <c r="L16" s="52">
        <v>175</v>
      </c>
      <c r="M16" s="52">
        <v>175</v>
      </c>
      <c r="N16" s="52">
        <v>175</v>
      </c>
      <c r="O16" s="52">
        <v>175</v>
      </c>
      <c r="P16" s="52">
        <v>175</v>
      </c>
      <c r="Q16" s="52">
        <v>175</v>
      </c>
      <c r="R16" s="52">
        <v>175</v>
      </c>
      <c r="S16" s="52">
        <v>175</v>
      </c>
      <c r="T16" s="52">
        <v>175</v>
      </c>
      <c r="U16" s="52">
        <v>175</v>
      </c>
    </row>
    <row r="17" spans="1:21" ht="22" x14ac:dyDescent="0.3">
      <c r="A17" s="32" t="s">
        <v>77</v>
      </c>
      <c r="B17" s="32" t="s">
        <v>10</v>
      </c>
      <c r="C17" s="35">
        <f>SUMIF(jcc[[Movement]:[Movement]],"Credit", jcc[2024-05-01])-SUMIF(jcc[[Movement]:[Movement]],"Debit",jcc[2024-05-01])</f>
        <v>2000</v>
      </c>
      <c r="D17" s="35">
        <f>SUMIF(jcc[[Movement]:[Movement]],"Credit", jcc[2024-06-01])-SUMIF(jcc[[Movement]:[Movement]],"Debit",jcc[2024-06-01])</f>
        <v>0</v>
      </c>
      <c r="E17" s="35">
        <f>SUMIF(jcc[[Movement]:[Movement]],"Credit", jcc[2024-07-01])-SUMIF(jcc[[Movement]:[Movement]],"Debit",jcc[2024-07-01])</f>
        <v>-3050</v>
      </c>
      <c r="F17" s="35">
        <f>SUMIF(jcc[[Movement]:[Movement]],"Credit", jcc[2024-08-01])-SUMIF(jcc[[Movement]:[Movement]],"Debit",jcc[2024-08-01])</f>
        <v>500</v>
      </c>
      <c r="G17" s="35">
        <f>SUMIF(jcc[[Movement]:[Movement]],"Credit", jcc[2024-09-01])-SUMIF(jcc[[Movement]:[Movement]],"Debit",jcc[2024-09-01])</f>
        <v>500</v>
      </c>
      <c r="H17" s="35">
        <f>SUMIF(jcc[[Movement]:[Movement]],"Credit", jcc[2024-10-01])-SUMIF(jcc[[Movement]:[Movement]],"Debit",jcc[2024-10-01])</f>
        <v>500</v>
      </c>
      <c r="I17" s="35">
        <f>SUMIF(jcc[[Movement]:[Movement]],"Credit", jcc[2024-11-01])-SUMIF(jcc[[Movement]:[Movement]],"Debit",jcc[2024-11-01])</f>
        <v>500</v>
      </c>
      <c r="J17" s="35">
        <f>SUMIF(jcc[[Movement]:[Movement]],"Credit", jcc[2024-12-01])-SUMIF(jcc[[Movement]:[Movement]],"Debit",jcc[2024-12-01])</f>
        <v>500</v>
      </c>
      <c r="K17" s="12">
        <f>SUMIF(jcc[Movement], "Credit", jcc[2025-02-01]) - SUMIF(jcc[Movement], "Debit", jcc[2025-02-01])</f>
        <v>-9300</v>
      </c>
      <c r="L17" s="12">
        <f>SUMIF(jcc[Movement], "Credit", jcc[2025-03-01]) - SUMIF(jcc[Movement], "Debit", jcc[2025-03-01])</f>
        <v>-8053.4375</v>
      </c>
      <c r="M17" s="12">
        <f>SUMIF(jcc[Movement], "Credit", jcc[01/04/2025]) - SUMIF(jcc[Movement], "Debit", jcc[01/04/2025])</f>
        <v>-8679.7232499999991</v>
      </c>
      <c r="N17" s="12">
        <f>SUMIF(jcc[Movement], "Credit", jcc[2025-05-01]) - SUMIF(jcc[Movement], "Debit", jcc[2025-05-01])</f>
        <v>-8001.7033722812494</v>
      </c>
      <c r="O17" s="12">
        <f>SUMIF(jcc[Movement], "Credit", jcc[2025-06-01]) - SUMIF(jcc[Movement], "Debit", jcc[2025-06-01])</f>
        <v>-7011.7333942177065</v>
      </c>
      <c r="P17" s="12">
        <f>SUMIF(jcc[Movement], "Credit", jcc[2025-07-01]) - SUMIF(jcc[Movement], "Debit", jcc[2025-07-01])</f>
        <v>-6004.3151952907938</v>
      </c>
      <c r="Q17" s="12">
        <f>SUMIF(jcc[Movement], "Credit", jcc[2025-08-01]) - SUMIF(jcc[Movement], "Debit", jcc[2025-08-01])</f>
        <v>-4979.1412506077941</v>
      </c>
      <c r="R17" s="12">
        <f>SUMIF(jcc[Movement], "Credit", jcc[2025-09-01]) - SUMIF(jcc[Movement], "Debit", jcc[2025-09-01])</f>
        <v>-3935.8986151497566</v>
      </c>
      <c r="S17" s="12">
        <f>SUMIF(jcc[Movement], "Credit", jcc[2025-10-01]) - SUMIF(jcc[Movement], "Debit", jcc[2025-10-01])</f>
        <v>-2874.2688282417712</v>
      </c>
      <c r="T17" s="12">
        <f>SUMIF(jcc[Movement], "Credit", jcc[2025-11-01]) - SUMIF(jcc[Movement], "Debit", jcc[2025-11-01])</f>
        <v>-1793.9278163395325</v>
      </c>
      <c r="U17" s="12">
        <f>SUMIF(jcc[Movement], "Credit", jcc[2025-12-01]) - SUMIF(jcc[Movement], "Debit", jcc[2025-12-01])</f>
        <v>-694.54579410251677</v>
      </c>
    </row>
    <row r="18" spans="1:21" ht="22" x14ac:dyDescent="0.3">
      <c r="A18" s="32" t="s">
        <v>119</v>
      </c>
      <c r="B18" s="32" t="s">
        <v>10</v>
      </c>
      <c r="C18" s="12"/>
      <c r="D18" s="12"/>
      <c r="E18" s="12"/>
      <c r="F18" s="12"/>
      <c r="G18" s="12"/>
      <c r="H18" s="12"/>
      <c r="I18" s="12"/>
      <c r="J18" s="12"/>
      <c r="K18" s="84">
        <f>SUMIF(jcc[Movement], "Debit", jcc[2025-02-01])</f>
        <v>1144</v>
      </c>
      <c r="L18" s="84">
        <f>SUMIF(jcc[Movement], "Debit", jcc[2025-03-01])</f>
        <v>553.4375</v>
      </c>
      <c r="M18" s="84">
        <f>SUMIF(jcc[Movement], "Debit", jcc[01/04/2025])</f>
        <v>1033.72325</v>
      </c>
      <c r="N18" s="84">
        <f>SUMIF(jcc[Movement], "Debit", jcc[2025-05-01])</f>
        <v>1021.98012228125</v>
      </c>
      <c r="O18" s="84">
        <f>SUMIF(jcc[Movement], "Debit", jcc[2025-06-01])</f>
        <v>1010.030021936457</v>
      </c>
      <c r="P18" s="84">
        <f>SUMIF(jcc[Movement], "Debit", jcc[2025-07-01])</f>
        <v>992.58180107308704</v>
      </c>
      <c r="Q18" s="84">
        <f>SUMIF(jcc[Movement], "Debit", jcc[2025-08-01])</f>
        <v>974.82605531700028</v>
      </c>
      <c r="R18" s="84">
        <f>SUMIF(jcc[Movement], "Debit", jcc[2025-09-01])</f>
        <v>956.75736454196237</v>
      </c>
      <c r="S18" s="84">
        <f>SUMIF(jcc[Movement], "Debit", jcc[2025-10-01])</f>
        <v>938.37021309201441</v>
      </c>
      <c r="T18" s="84">
        <f>SUMIF(jcc[Movement], "Debit", jcc[2025-11-01])</f>
        <v>919.65898809776127</v>
      </c>
      <c r="U18" s="84">
        <f>SUMIF(jcc[Movement], "Debit", jcc[2025-12-01])</f>
        <v>900.61797776298431</v>
      </c>
    </row>
  </sheetData>
  <conditionalFormatting sqref="A17:XFD17">
    <cfRule type="cellIs" dxfId="3" priority="1" operator="greaterThan">
      <formula>0</formula>
    </cfRule>
    <cfRule type="cellIs" dxfId="2" priority="2" operator="lessThan">
      <formula>0</formula>
    </cfRule>
  </conditionalFormatting>
  <pageMargins left="0.7" right="0.7" top="0.75" bottom="0.75" header="0.3" footer="0.3"/>
  <pageSetup paperSize="9" orientation="portrait" horizontalDpi="0" verticalDpi="0"/>
  <ignoredErrors>
    <ignoredError sqref="K11:K13 K17:U17 K9 K16 K8 N9:U9" calculatedColumn="1"/>
  </ignoredErrors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CFD11-D4D9-2F45-A255-BFD0FDA1DFF2}">
  <sheetPr codeName="Sheet5"/>
  <dimension ref="A1:W15"/>
  <sheetViews>
    <sheetView showGridLines="0" zoomScale="137" workbookViewId="0">
      <selection activeCell="P5" sqref="P5"/>
    </sheetView>
  </sheetViews>
  <sheetFormatPr baseColWidth="10" defaultRowHeight="16" x14ac:dyDescent="0.2"/>
  <cols>
    <col min="1" max="1" width="18.33203125" customWidth="1"/>
    <col min="2" max="2" width="23.6640625" bestFit="1" customWidth="1"/>
    <col min="3" max="4" width="15.1640625" style="1" hidden="1" customWidth="1"/>
    <col min="5" max="10" width="15.1640625" hidden="1" customWidth="1"/>
    <col min="11" max="11" width="15.83203125" hidden="1" customWidth="1"/>
    <col min="12" max="12" width="0" hidden="1" customWidth="1"/>
    <col min="13" max="15" width="16.83203125" hidden="1" customWidth="1"/>
    <col min="16" max="23" width="16.83203125" customWidth="1"/>
  </cols>
  <sheetData>
    <row r="1" spans="1:23" ht="17" thickBot="1" x14ac:dyDescent="0.25">
      <c r="A1" s="6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63" t="s">
        <v>96</v>
      </c>
      <c r="L1" s="83" t="s">
        <v>52</v>
      </c>
      <c r="M1" s="83" t="s">
        <v>53</v>
      </c>
      <c r="N1" s="83" t="s">
        <v>54</v>
      </c>
      <c r="O1" s="83" t="s">
        <v>55</v>
      </c>
      <c r="P1" s="83" t="s">
        <v>57</v>
      </c>
      <c r="Q1" s="83" t="s">
        <v>56</v>
      </c>
      <c r="R1" s="83" t="s">
        <v>58</v>
      </c>
      <c r="S1" s="83" t="s">
        <v>59</v>
      </c>
      <c r="T1" s="83" t="s">
        <v>60</v>
      </c>
      <c r="U1" s="83" t="s">
        <v>61</v>
      </c>
      <c r="V1" s="83" t="s">
        <v>62</v>
      </c>
      <c r="W1" s="83" t="s">
        <v>63</v>
      </c>
    </row>
    <row r="2" spans="1:23" s="2" customFormat="1" ht="22" x14ac:dyDescent="0.3">
      <c r="A2" s="43" t="s">
        <v>50</v>
      </c>
      <c r="B2" s="67" t="s">
        <v>0</v>
      </c>
      <c r="C2" s="23">
        <v>11000</v>
      </c>
      <c r="D2" s="23">
        <v>11000</v>
      </c>
      <c r="E2" s="23">
        <v>8800</v>
      </c>
      <c r="F2" s="23">
        <v>8800</v>
      </c>
      <c r="G2" s="23">
        <v>8800</v>
      </c>
      <c r="H2" s="23">
        <v>8800</v>
      </c>
      <c r="I2" s="23">
        <v>8800</v>
      </c>
      <c r="J2" s="23">
        <v>11300</v>
      </c>
      <c r="K2" s="23">
        <v>11300</v>
      </c>
      <c r="L2" s="81"/>
      <c r="M2" s="85">
        <v>8800</v>
      </c>
      <c r="N2" s="85">
        <v>3700</v>
      </c>
      <c r="O2" s="85">
        <v>3400</v>
      </c>
      <c r="P2" s="23">
        <v>3700</v>
      </c>
      <c r="Q2" s="23">
        <v>3700</v>
      </c>
      <c r="R2" s="23">
        <v>3700</v>
      </c>
      <c r="S2" s="23">
        <v>3700</v>
      </c>
      <c r="T2" s="23">
        <v>3700</v>
      </c>
      <c r="U2" s="23">
        <v>3700</v>
      </c>
      <c r="V2" s="23">
        <v>3700</v>
      </c>
      <c r="W2" s="23">
        <v>3700</v>
      </c>
    </row>
    <row r="3" spans="1:23" s="2" customFormat="1" ht="22" hidden="1" x14ac:dyDescent="0.3">
      <c r="A3" s="53" t="s">
        <v>50</v>
      </c>
      <c r="B3" s="53" t="s">
        <v>90</v>
      </c>
      <c r="C3" s="23"/>
      <c r="D3" s="23"/>
      <c r="E3" s="23"/>
      <c r="F3" s="23"/>
      <c r="G3" s="23"/>
      <c r="H3" s="23"/>
      <c r="I3" s="23"/>
      <c r="J3" s="23"/>
      <c r="K3" s="89"/>
      <c r="L3" s="89"/>
      <c r="M3" s="90">
        <v>350</v>
      </c>
      <c r="N3" s="90">
        <v>726</v>
      </c>
      <c r="O3" s="89"/>
      <c r="P3" s="89">
        <v>0</v>
      </c>
      <c r="Q3" s="89">
        <v>0</v>
      </c>
      <c r="R3" s="89">
        <v>0</v>
      </c>
      <c r="S3" s="89">
        <v>0</v>
      </c>
      <c r="T3" s="89">
        <v>0</v>
      </c>
      <c r="U3" s="89">
        <v>0</v>
      </c>
      <c r="V3" s="89">
        <v>0</v>
      </c>
      <c r="W3" s="89">
        <v>0</v>
      </c>
    </row>
    <row r="4" spans="1:23" s="3" customFormat="1" ht="22" x14ac:dyDescent="0.3">
      <c r="A4" s="42" t="s">
        <v>51</v>
      </c>
      <c r="B4" s="42" t="s">
        <v>164</v>
      </c>
      <c r="C4" s="40">
        <v>2000</v>
      </c>
      <c r="D4" s="40">
        <v>2000</v>
      </c>
      <c r="E4" s="40">
        <v>500</v>
      </c>
      <c r="F4" s="40">
        <v>500</v>
      </c>
      <c r="G4" s="40">
        <v>500</v>
      </c>
      <c r="H4" s="40">
        <v>500</v>
      </c>
      <c r="I4" s="40">
        <v>700</v>
      </c>
      <c r="J4" s="40">
        <v>2200</v>
      </c>
      <c r="K4" s="40">
        <v>2200</v>
      </c>
      <c r="L4" s="81"/>
      <c r="M4" s="87">
        <v>900</v>
      </c>
      <c r="N4" s="87"/>
      <c r="O4" s="79">
        <v>1840</v>
      </c>
      <c r="P4" s="40">
        <v>1700</v>
      </c>
      <c r="Q4" s="40">
        <v>1500</v>
      </c>
      <c r="R4" s="40">
        <v>1500</v>
      </c>
      <c r="S4" s="40">
        <v>1500</v>
      </c>
      <c r="T4" s="40">
        <v>1500</v>
      </c>
      <c r="U4" s="40">
        <v>1500</v>
      </c>
      <c r="V4" s="40">
        <v>1500</v>
      </c>
      <c r="W4" s="40">
        <v>1500</v>
      </c>
    </row>
    <row r="5" spans="1:23" s="3" customFormat="1" ht="22" x14ac:dyDescent="0.3">
      <c r="A5" s="39" t="s">
        <v>51</v>
      </c>
      <c r="B5" s="36" t="s">
        <v>143</v>
      </c>
      <c r="C5" s="37">
        <v>7700</v>
      </c>
      <c r="D5" s="37">
        <v>7700</v>
      </c>
      <c r="E5" s="37">
        <v>7000</v>
      </c>
      <c r="F5" s="37">
        <v>6800</v>
      </c>
      <c r="G5" s="37">
        <v>7000</v>
      </c>
      <c r="H5" s="37">
        <v>7300</v>
      </c>
      <c r="I5" s="37">
        <v>7750</v>
      </c>
      <c r="J5" s="37">
        <v>8000</v>
      </c>
      <c r="K5" s="37">
        <v>8000</v>
      </c>
      <c r="L5" s="81"/>
      <c r="M5" s="88">
        <v>7700</v>
      </c>
      <c r="N5" s="88"/>
      <c r="O5" s="37"/>
      <c r="P5" s="37">
        <v>800</v>
      </c>
      <c r="Q5" s="37">
        <v>800</v>
      </c>
      <c r="R5" s="37">
        <v>800</v>
      </c>
      <c r="S5" s="37">
        <v>800</v>
      </c>
      <c r="T5" s="37">
        <v>800</v>
      </c>
      <c r="U5" s="37">
        <v>800</v>
      </c>
      <c r="V5" s="37">
        <v>800</v>
      </c>
      <c r="W5" s="37">
        <v>800</v>
      </c>
    </row>
    <row r="6" spans="1:23" s="3" customFormat="1" ht="22" x14ac:dyDescent="0.3">
      <c r="A6" s="42" t="s">
        <v>51</v>
      </c>
      <c r="B6" s="42" t="s">
        <v>165</v>
      </c>
      <c r="C6" s="40"/>
      <c r="D6" s="40"/>
      <c r="E6" s="40"/>
      <c r="F6" s="40"/>
      <c r="G6" s="40"/>
      <c r="H6" s="40"/>
      <c r="I6" s="40"/>
      <c r="J6" s="40"/>
      <c r="K6" s="99"/>
      <c r="L6" s="99"/>
      <c r="M6" s="99">
        <f>SUMIF(jtrn[Movement], "Credit", jtrn[2025-02-01]) - SUMIF(jtrn[Movement], "Debit", jtrn[2025-02-01])</f>
        <v>10</v>
      </c>
      <c r="N6" s="100"/>
      <c r="O6" s="99"/>
      <c r="P6" s="99">
        <v>500</v>
      </c>
      <c r="Q6" s="99">
        <v>500</v>
      </c>
      <c r="R6" s="99">
        <v>500</v>
      </c>
      <c r="S6" s="99">
        <v>500</v>
      </c>
      <c r="T6" s="99">
        <v>500</v>
      </c>
      <c r="U6" s="99">
        <v>500</v>
      </c>
      <c r="V6" s="99">
        <v>500</v>
      </c>
      <c r="W6" s="99">
        <v>500</v>
      </c>
    </row>
    <row r="7" spans="1:23" s="38" customFormat="1" ht="22" x14ac:dyDescent="0.3">
      <c r="A7" s="39" t="s">
        <v>51</v>
      </c>
      <c r="B7" s="36" t="s">
        <v>166</v>
      </c>
      <c r="C7" s="37">
        <v>110</v>
      </c>
      <c r="D7" s="37">
        <v>110</v>
      </c>
      <c r="E7" s="37">
        <v>110</v>
      </c>
      <c r="F7" s="37">
        <v>110</v>
      </c>
      <c r="G7" s="37">
        <v>110</v>
      </c>
      <c r="H7" s="37">
        <v>110</v>
      </c>
      <c r="I7" s="37">
        <v>110</v>
      </c>
      <c r="J7" s="37">
        <v>110</v>
      </c>
      <c r="K7" s="37">
        <v>110</v>
      </c>
      <c r="L7" s="81"/>
      <c r="M7" s="37"/>
      <c r="N7" s="37"/>
      <c r="O7" s="37">
        <v>200</v>
      </c>
      <c r="P7" s="37">
        <v>300</v>
      </c>
      <c r="Q7" s="37">
        <v>300</v>
      </c>
      <c r="R7" s="37">
        <v>300</v>
      </c>
      <c r="S7" s="37">
        <v>300</v>
      </c>
      <c r="T7" s="37">
        <v>300</v>
      </c>
      <c r="U7" s="37">
        <v>300</v>
      </c>
      <c r="V7" s="37">
        <v>300</v>
      </c>
      <c r="W7" s="37">
        <v>300</v>
      </c>
    </row>
    <row r="8" spans="1:23" s="38" customFormat="1" ht="22" x14ac:dyDescent="0.3">
      <c r="A8" s="39" t="s">
        <v>51</v>
      </c>
      <c r="B8" s="36" t="s">
        <v>167</v>
      </c>
      <c r="C8" s="37">
        <v>900</v>
      </c>
      <c r="D8" s="37">
        <v>900</v>
      </c>
      <c r="E8" s="37">
        <v>900</v>
      </c>
      <c r="F8" s="37">
        <v>900</v>
      </c>
      <c r="G8" s="37"/>
      <c r="H8" s="37"/>
      <c r="I8" s="37"/>
      <c r="J8" s="37"/>
      <c r="K8" s="37"/>
      <c r="L8" s="81"/>
      <c r="M8" s="37"/>
      <c r="N8" s="37"/>
      <c r="O8" s="80">
        <v>210</v>
      </c>
      <c r="P8" s="37">
        <v>200</v>
      </c>
      <c r="Q8" s="37">
        <v>200</v>
      </c>
      <c r="R8" s="37">
        <v>200</v>
      </c>
      <c r="S8" s="37">
        <v>200</v>
      </c>
      <c r="T8" s="37">
        <v>200</v>
      </c>
      <c r="U8" s="37">
        <v>200</v>
      </c>
      <c r="V8" s="37">
        <v>200</v>
      </c>
      <c r="W8" s="37">
        <v>200</v>
      </c>
    </row>
    <row r="9" spans="1:23" s="3" customFormat="1" ht="22" x14ac:dyDescent="0.3">
      <c r="A9" s="39" t="s">
        <v>51</v>
      </c>
      <c r="B9" s="36" t="s">
        <v>168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81"/>
      <c r="M9" s="37"/>
      <c r="N9" s="37"/>
      <c r="O9" s="37">
        <v>500</v>
      </c>
      <c r="P9" s="37"/>
      <c r="Q9" s="37"/>
      <c r="R9" s="37"/>
      <c r="S9" s="37"/>
      <c r="T9" s="37"/>
      <c r="U9" s="37"/>
      <c r="V9" s="37"/>
      <c r="W9" s="37"/>
    </row>
    <row r="10" spans="1:23" s="3" customFormat="1" ht="22" x14ac:dyDescent="0.3">
      <c r="A10" s="39" t="s">
        <v>51</v>
      </c>
      <c r="B10" s="42" t="s">
        <v>169</v>
      </c>
      <c r="C10" s="40">
        <v>0</v>
      </c>
      <c r="D10" s="40">
        <v>200</v>
      </c>
      <c r="E10" s="40">
        <v>200</v>
      </c>
      <c r="F10" s="40">
        <v>200</v>
      </c>
      <c r="G10" s="40">
        <v>200</v>
      </c>
      <c r="H10" s="40">
        <v>200</v>
      </c>
      <c r="I10" s="40">
        <v>200</v>
      </c>
      <c r="J10" s="40">
        <v>200</v>
      </c>
      <c r="K10" s="40">
        <v>200</v>
      </c>
      <c r="L10" s="81"/>
      <c r="M10" s="87">
        <v>200</v>
      </c>
      <c r="N10" s="79"/>
      <c r="O10" s="40"/>
      <c r="P10" s="40"/>
      <c r="Q10" s="40"/>
      <c r="R10" s="40"/>
      <c r="S10" s="40"/>
      <c r="T10" s="40"/>
      <c r="U10" s="40"/>
      <c r="V10" s="40"/>
      <c r="W10" s="40"/>
    </row>
    <row r="11" spans="1:23" s="3" customFormat="1" ht="22" x14ac:dyDescent="0.3">
      <c r="A11" s="42" t="s">
        <v>51</v>
      </c>
      <c r="B11" s="42" t="s">
        <v>171</v>
      </c>
      <c r="C11" s="40"/>
      <c r="D11" s="40"/>
      <c r="E11" s="40"/>
      <c r="F11" s="40"/>
      <c r="G11" s="40"/>
      <c r="H11" s="40">
        <v>607</v>
      </c>
      <c r="I11" s="40"/>
      <c r="J11" s="40"/>
      <c r="K11" s="40"/>
      <c r="L11" s="81"/>
      <c r="M11" s="40"/>
      <c r="N11" s="40"/>
      <c r="O11" s="79">
        <v>130</v>
      </c>
      <c r="P11" s="40"/>
      <c r="Q11" s="40"/>
      <c r="R11" s="40"/>
      <c r="S11" s="40"/>
      <c r="T11" s="40"/>
      <c r="U11" s="40"/>
      <c r="V11" s="40"/>
      <c r="W11" s="40"/>
    </row>
    <row r="12" spans="1:23" s="3" customFormat="1" ht="22" x14ac:dyDescent="0.3">
      <c r="A12" s="42" t="s">
        <v>51</v>
      </c>
      <c r="B12" s="42" t="s">
        <v>172</v>
      </c>
      <c r="C12" s="40"/>
      <c r="D12" s="40"/>
      <c r="E12" s="40"/>
      <c r="F12" s="40"/>
      <c r="G12" s="40"/>
      <c r="H12" s="40"/>
      <c r="I12" s="40"/>
      <c r="J12" s="40"/>
      <c r="K12" s="99"/>
      <c r="L12" s="99"/>
      <c r="M12" s="99">
        <f>SUMIF(jtrn[Movement], "Credit", jtrn[2025-02-01]) - SUMIF(jtrn[Movement], "Debit", jtrn[2025-02-01])</f>
        <v>10</v>
      </c>
      <c r="N12" s="99">
        <f>SUMIF(jtrn[Movement], "Credit", jtrn[2025-03-01]) - SUMIF(jtrn[Movement], "Debit", jtrn[2025-03-01])</f>
        <v>614</v>
      </c>
      <c r="O12" s="104">
        <v>95</v>
      </c>
      <c r="P12" s="99"/>
      <c r="Q12" s="99"/>
      <c r="R12" s="99"/>
      <c r="S12" s="99"/>
      <c r="T12" s="99"/>
      <c r="U12" s="99"/>
      <c r="V12" s="99"/>
      <c r="W12" s="99"/>
    </row>
    <row r="13" spans="1:23" s="3" customFormat="1" ht="22" x14ac:dyDescent="0.3">
      <c r="A13" s="42" t="s">
        <v>51</v>
      </c>
      <c r="B13" s="42" t="s">
        <v>170</v>
      </c>
      <c r="C13" s="40"/>
      <c r="D13" s="40"/>
      <c r="E13" s="40"/>
      <c r="F13" s="40"/>
      <c r="G13" s="40"/>
      <c r="H13" s="40"/>
      <c r="I13" s="40"/>
      <c r="J13" s="40"/>
      <c r="K13" s="99"/>
      <c r="L13" s="99"/>
      <c r="M13" s="99">
        <f>SUMIF(jtrn[Movement], "Credit", jtrn[2025-02-01]) - SUMIF(jtrn[Movement], "Debit", jtrn[2025-02-01])</f>
        <v>10</v>
      </c>
      <c r="N13" s="100"/>
      <c r="O13" s="104">
        <v>81</v>
      </c>
      <c r="P13" s="99"/>
      <c r="Q13" s="99"/>
      <c r="R13" s="99"/>
      <c r="S13" s="99"/>
      <c r="T13" s="99"/>
      <c r="U13" s="99"/>
      <c r="V13" s="99"/>
      <c r="W13" s="99"/>
    </row>
    <row r="14" spans="1:23" s="3" customFormat="1" ht="22" x14ac:dyDescent="0.3">
      <c r="A14" s="42" t="s">
        <v>51</v>
      </c>
      <c r="B14" s="42" t="s">
        <v>17</v>
      </c>
      <c r="C14" s="40">
        <v>0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81"/>
      <c r="M14" s="40"/>
      <c r="N14" s="40"/>
      <c r="O14" s="79">
        <v>353</v>
      </c>
      <c r="P14" s="40"/>
      <c r="Q14" s="40"/>
      <c r="R14" s="40"/>
      <c r="S14" s="40"/>
      <c r="T14" s="40"/>
      <c r="U14" s="40"/>
      <c r="V14" s="40"/>
      <c r="W14" s="40"/>
    </row>
    <row r="15" spans="1:23" s="46" customFormat="1" ht="22" x14ac:dyDescent="0.3">
      <c r="A15" s="44" t="s">
        <v>77</v>
      </c>
      <c r="B15" s="103" t="s">
        <v>79</v>
      </c>
      <c r="C15" s="45">
        <f>SUMIF(btrn2[[Movement]:[Movement]],"Credit", btrn2[2024-05-01])-SUMIF(btrn2[[Movement]:[Movement]],"Debit",btrn2[2024-05-01])</f>
        <v>290</v>
      </c>
      <c r="D15" s="45">
        <f>SUMIF(btrn2[[Movement]:[Movement]],"Credit", btrn2[2024-06-01])-SUMIF(btrn2[[Movement]:[Movement]],"Debit",btrn2[2024-06-01])</f>
        <v>90</v>
      </c>
      <c r="E15" s="45">
        <f>SUMIF(btrn2[[Movement]:[Movement]],"Credit", btrn2[2024-07-01])-SUMIF(btrn2[[Movement]:[Movement]],"Debit",btrn2[2024-07-01])</f>
        <v>90</v>
      </c>
      <c r="F15" s="45">
        <f>SUMIF(btrn2[[Movement]:[Movement]],"Credit", btrn2[2024-08-01])-SUMIF(btrn2[[Movement]:[Movement]],"Debit",btrn2[2024-08-01])</f>
        <v>290</v>
      </c>
      <c r="G15" s="45">
        <f>SUMIF(btrn2[[Movement]:[Movement]],"Credit", btrn2[2024-09-01])-SUMIF(btrn2[[Movement]:[Movement]],"Debit",btrn2[2024-09-01])</f>
        <v>990</v>
      </c>
      <c r="H15" s="45">
        <f>SUMIF(btrn2[[Movement]:[Movement]],"Credit", btrn2[2024-10-01])-SUMIF(btrn2[[Movement]:[Movement]],"Debit",btrn2[2024-10-01])</f>
        <v>83</v>
      </c>
      <c r="I15" s="45">
        <f>SUMIF(btrn2[[Movement]:[Movement]],"Credit", btrn2[2024-11-01])-SUMIF(btrn2[[Movement]:[Movement]],"Debit",btrn2[2024-11-01])</f>
        <v>40</v>
      </c>
      <c r="J15" s="45">
        <f>SUMIF(btrn2[[Movement]:[Movement]],"Credit", btrn2[2024-12-01])-SUMIF(btrn2[[Movement]:[Movement]],"Debit",btrn2[2024-12-01])</f>
        <v>790</v>
      </c>
      <c r="K15" s="45">
        <f>SUMIF(btrn2[[Movement]:[Movement]],"Credit", btrn2[2024-12-02])-SUMIF(btrn2[[Movement]:[Movement]],"Debit",btrn2[2024-12-02])</f>
        <v>790</v>
      </c>
      <c r="L15" s="82"/>
      <c r="M15" s="12">
        <f>SUMIF(btrn2[Movement], "Credit", btrn2[2025-02-01]) - SUMIF(btrn2[Movement], "Debit", btrn2[2025-02-01])</f>
        <v>320</v>
      </c>
      <c r="N15" s="12">
        <f>SUMIF(btrn2[Movement], "Credit", btrn2[2025-03-01]) - SUMIF(btrn2[Movement], "Debit", btrn2[2025-03-01])</f>
        <v>3812</v>
      </c>
      <c r="O15" s="12">
        <f>SUMIF(btrn2[Movement], "Credit", btrn2[2025-04-01]) - SUMIF(btrn2[Movement], "Debit", btrn2[2025-04-01])</f>
        <v>-9</v>
      </c>
      <c r="P15" s="12">
        <f>SUMIF(btrn2[Movement], "Credit", btrn2[2025-05-01]) - SUMIF(btrn2[Movement], "Debit", btrn2[2025-05-01])</f>
        <v>200</v>
      </c>
      <c r="Q15" s="12">
        <f>SUMIF(btrn2[Movement], "Credit", btrn2[2025-06-01]) - SUMIF(btrn2[Movement], "Debit", btrn2[2025-06-01])</f>
        <v>400</v>
      </c>
      <c r="R15" s="12">
        <f>SUMIF(btrn2[Movement], "Credit", btrn2[2025-07-01]) - SUMIF(btrn2[Movement], "Debit", btrn2[2025-07-01])</f>
        <v>400</v>
      </c>
      <c r="S15" s="12">
        <f>SUMIF(btrn2[Movement], "Credit", btrn2[2025-08-01]) - SUMIF(btrn2[Movement], "Debit", btrn2[2025-08-01])</f>
        <v>400</v>
      </c>
      <c r="T15" s="12">
        <f>SUMIF(btrn2[Movement], "Credit", btrn2[2025-09-01]) - SUMIF(btrn2[Movement], "Debit", btrn2[2025-09-01])</f>
        <v>400</v>
      </c>
      <c r="U15" s="12">
        <f>SUMIF(btrn2[Movement], "Credit", btrn2[2025-10-01]) - SUMIF(btrn2[Movement], "Debit", btrn2[2025-10-01])</f>
        <v>400</v>
      </c>
      <c r="V15" s="12">
        <f>SUMIF(btrn2[Movement], "Credit", btrn2[2025-11-01]) - SUMIF(btrn2[Movement], "Debit", btrn2[2025-11-01])</f>
        <v>400</v>
      </c>
      <c r="W15" s="12">
        <f>SUMIF(btrn2[Movement], "Credit", btrn2[2025-12-01]) - SUMIF(btrn2[Movement], "Debit", btrn2[2025-12-01])</f>
        <v>400</v>
      </c>
    </row>
  </sheetData>
  <conditionalFormatting sqref="N15:W1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sheetPr codeName="Sheet6"/>
  <dimension ref="A1:AH4"/>
  <sheetViews>
    <sheetView showGridLines="0" workbookViewId="0">
      <selection activeCell="A2" sqref="A2:XFD2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52</v>
      </c>
      <c r="L1" s="20" t="s">
        <v>53</v>
      </c>
      <c r="M1" s="20" t="s">
        <v>54</v>
      </c>
      <c r="N1" s="20" t="s">
        <v>55</v>
      </c>
      <c r="O1" s="26" t="s">
        <v>57</v>
      </c>
      <c r="P1" s="26" t="s">
        <v>56</v>
      </c>
      <c r="Q1" s="26" t="s">
        <v>58</v>
      </c>
      <c r="R1" s="26" t="s">
        <v>59</v>
      </c>
      <c r="S1" s="26" t="s">
        <v>60</v>
      </c>
      <c r="T1" s="26" t="s">
        <v>61</v>
      </c>
      <c r="U1" s="26" t="s">
        <v>62</v>
      </c>
      <c r="V1" s="26" t="s">
        <v>63</v>
      </c>
      <c r="W1" s="26" t="s">
        <v>64</v>
      </c>
      <c r="X1" s="26" t="s">
        <v>65</v>
      </c>
      <c r="Y1" s="26" t="s">
        <v>66</v>
      </c>
      <c r="Z1" s="26" t="s">
        <v>67</v>
      </c>
      <c r="AA1" s="26" t="s">
        <v>75</v>
      </c>
      <c r="AB1" s="26" t="s">
        <v>68</v>
      </c>
      <c r="AC1" s="26" t="s">
        <v>69</v>
      </c>
      <c r="AD1" s="26" t="s">
        <v>70</v>
      </c>
      <c r="AE1" s="26" t="s">
        <v>71</v>
      </c>
      <c r="AF1" s="26" t="s">
        <v>72</v>
      </c>
      <c r="AG1" s="26" t="s">
        <v>73</v>
      </c>
      <c r="AH1" s="26" t="s">
        <v>74</v>
      </c>
    </row>
    <row r="2" spans="1:34" s="2" customFormat="1" ht="22" x14ac:dyDescent="0.3">
      <c r="A2" s="15" t="s">
        <v>50</v>
      </c>
      <c r="B2" s="15" t="s">
        <v>0</v>
      </c>
      <c r="C2" s="7"/>
      <c r="D2" s="7"/>
      <c r="E2" s="7">
        <v>8140</v>
      </c>
      <c r="F2" s="7">
        <v>8140</v>
      </c>
      <c r="G2" s="7">
        <v>8140</v>
      </c>
      <c r="H2" s="7">
        <v>8140</v>
      </c>
      <c r="I2" s="7">
        <v>8140</v>
      </c>
      <c r="J2" s="7">
        <v>8140</v>
      </c>
      <c r="K2" s="7">
        <v>8140</v>
      </c>
      <c r="L2" s="7">
        <v>8140</v>
      </c>
      <c r="M2" s="7">
        <v>8140</v>
      </c>
      <c r="N2" s="7">
        <v>8140</v>
      </c>
      <c r="O2" s="7">
        <v>8140</v>
      </c>
      <c r="P2" s="7">
        <v>8140</v>
      </c>
      <c r="Q2" s="7">
        <v>8140</v>
      </c>
      <c r="R2" s="7">
        <v>8140</v>
      </c>
      <c r="S2" s="7">
        <v>8140</v>
      </c>
      <c r="T2" s="7">
        <v>8140</v>
      </c>
      <c r="U2" s="7">
        <v>8140</v>
      </c>
      <c r="V2" s="7">
        <v>8140</v>
      </c>
      <c r="W2" s="7">
        <v>8140</v>
      </c>
      <c r="X2" s="7">
        <v>8140</v>
      </c>
      <c r="Y2" s="7">
        <v>8140</v>
      </c>
      <c r="Z2" s="7">
        <v>8140</v>
      </c>
      <c r="AA2" s="7">
        <v>8140</v>
      </c>
      <c r="AB2" s="7">
        <v>8140</v>
      </c>
      <c r="AC2" s="7">
        <v>8140</v>
      </c>
      <c r="AD2" s="7">
        <v>8140</v>
      </c>
      <c r="AE2" s="7">
        <v>8140</v>
      </c>
      <c r="AF2" s="7">
        <v>8140</v>
      </c>
      <c r="AG2" s="7">
        <v>8140</v>
      </c>
      <c r="AH2" s="7">
        <v>8140</v>
      </c>
    </row>
    <row r="3" spans="1:34" s="3" customFormat="1" ht="22" x14ac:dyDescent="0.3">
      <c r="A3" s="50" t="s">
        <v>51</v>
      </c>
      <c r="B3" s="25" t="s">
        <v>82</v>
      </c>
      <c r="C3" s="51"/>
      <c r="D3" s="51"/>
      <c r="E3" s="51">
        <v>716601</v>
      </c>
      <c r="F3" s="51"/>
      <c r="G3" s="51"/>
      <c r="H3" s="51"/>
      <c r="I3" s="51"/>
      <c r="J3" s="51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</row>
    <row r="4" spans="1:34" ht="22" x14ac:dyDescent="0.3">
      <c r="A4" s="24" t="s">
        <v>77</v>
      </c>
      <c r="B4" s="32" t="s">
        <v>1</v>
      </c>
      <c r="C4" s="12">
        <f>SUMIF(Table3289[[Movement]:[Movement]],"Credit", Table3289[2024-05-01])-SUMIF(Table3289[[Movement]:[Movement]],"Debit", Table3289[2024-05-01])</f>
        <v>0</v>
      </c>
      <c r="D4" s="12">
        <f>SUMIF(Table3289[[Movement]:[Movement]],"Credit", Table3289[2024-06-01])-SUMIF(Table3289[[Movement]:[Movement]],"Debit", Table3289[2024-06-01])</f>
        <v>0</v>
      </c>
      <c r="E4" s="12">
        <f>SUMIF(Table3289[[Movement]:[Movement]],"Credit", Table3289[2024-07-01])-SUMIF(Table3289[[Movement]:[Movement]],"Debit", Table3289[2024-07-01])</f>
        <v>-708461</v>
      </c>
      <c r="F4" s="12">
        <f>SUMIF(Table3289[[Movement]:[Movement]],"Credit", Table3289[2024-08-01])-SUMIF(Table3289[[Movement]:[Movement]],"Debit", Table3289[2024-08-01])</f>
        <v>8140</v>
      </c>
      <c r="G4" s="12">
        <f>SUMIF(Table3289[[Movement]:[Movement]],"Credit", Table3289[2024-09-01])-SUMIF(Table3289[[Movement]:[Movement]],"Debit", Table3289[2024-09-01])</f>
        <v>8140</v>
      </c>
      <c r="H4" s="12">
        <f>SUMIF(Table3289[[Movement]:[Movement]],"Credit", Table3289[2024-10-01])-SUMIF(Table3289[[Movement]:[Movement]],"Debit", Table3289[2024-10-01])</f>
        <v>8140</v>
      </c>
      <c r="I4" s="12">
        <f>SUMIF(Table3289[[Movement]:[Movement]],"Credit", Table3289[2024-11-01])-SUMIF(Table3289[[Movement]:[Movement]],"Debit", Table3289[2024-11-01])</f>
        <v>8140</v>
      </c>
      <c r="J4" s="12">
        <f>SUMIF(Table3289[[Movement]:[Movement]],"Credit", Table3289[2024-12-01])-SUMIF(Table3289[[Movement]:[Movement]],"Debit", Table3289[2024-12-01])</f>
        <v>8140</v>
      </c>
      <c r="K4" s="12">
        <f>SUMIF(Table3289[[Movement]:[Movement]],"Credit", Table3289[2025-01-01])-SUMIF(Table3289[[Movement]:[Movement]],"Debit", Table3289[2025-01-01])</f>
        <v>8140</v>
      </c>
      <c r="L4" s="12">
        <f>SUMIF(Table3289[[Movement]:[Movement]],"Credit", Table3289[2025-02-01])-SUMIF(Table3289[[Movement]:[Movement]],"Debit", Table3289[2025-02-01])</f>
        <v>8140</v>
      </c>
      <c r="M4" s="12">
        <f>SUMIF(Table3289[[Movement]:[Movement]],"Credit", Table3289[2025-03-01])-SUMIF(Table3289[[Movement]:[Movement]],"Debit", Table3289[2025-03-01])</f>
        <v>8140</v>
      </c>
      <c r="N4" s="12">
        <f>SUMIF(Table3289[[Movement]:[Movement]],"Credit", Table3289[2025-04-01])-SUMIF(Table3289[[Movement]:[Movement]],"Debit", Table3289[2025-04-01])</f>
        <v>8140</v>
      </c>
      <c r="O4" s="12">
        <f>SUMIF(Table3289[[Movement]:[Movement]],"Credit", Table3289[2025-05-01])-SUMIF(Table3289[[Movement]:[Movement]],"Debit", Table3289[2025-05-01])</f>
        <v>8140</v>
      </c>
      <c r="P4" s="12">
        <f>SUMIF(Table3289[[Movement]:[Movement]],"Credit", Table3289[2025-06-01])-SUMIF(Table3289[[Movement]:[Movement]],"Debit", Table3289[2025-06-01])</f>
        <v>8140</v>
      </c>
      <c r="Q4" s="12">
        <f>SUMIF(Table3289[[Movement]:[Movement]],"Credit", Table3289[2025-07-01])-SUMIF(Table3289[[Movement]:[Movement]],"Debit", Table3289[2025-07-01])</f>
        <v>8140</v>
      </c>
      <c r="R4" s="12">
        <f>SUMIF(Table3289[[Movement]:[Movement]],"Credit", Table3289[2025-08-01])-SUMIF(Table3289[[Movement]:[Movement]],"Debit", Table3289[2025-08-01])</f>
        <v>8140</v>
      </c>
      <c r="S4" s="12">
        <f>SUMIF(Table3289[[Movement]:[Movement]],"Credit", Table3289[2025-09-01])-SUMIF(Table3289[[Movement]:[Movement]],"Debit", Table3289[2025-09-01])</f>
        <v>8140</v>
      </c>
      <c r="T4" s="12">
        <f>SUMIF(Table3289[[Movement]:[Movement]],"Credit", Table3289[2025-10-01])-SUMIF(Table3289[[Movement]:[Movement]],"Debit", Table3289[2025-10-01])</f>
        <v>8140</v>
      </c>
      <c r="U4" s="12">
        <f>SUMIF(Table3289[[Movement]:[Movement]],"Credit", Table3289[2025-11-01])-SUMIF(Table3289[[Movement]:[Movement]],"Debit", Table3289[2025-11-01])</f>
        <v>8140</v>
      </c>
      <c r="V4" s="12">
        <f>SUMIF(Table3289[[Movement]:[Movement]],"Credit", Table3289[2025-12-01])-SUMIF(Table3289[[Movement]:[Movement]],"Debit", Table3289[2025-12-01])</f>
        <v>8140</v>
      </c>
      <c r="W4" s="12">
        <f>SUMIF(Table3289[[Movement]:[Movement]],"Credit", Table3289[2026-01-01])-SUMIF(Table3289[[Movement]:[Movement]],"Debit", Table3289[2026-01-01])</f>
        <v>8140</v>
      </c>
      <c r="X4" s="12">
        <f>SUMIF(Table3289[[Movement]:[Movement]],"Credit", Table3289[2026-02-01])-SUMIF(Table3289[[Movement]:[Movement]],"Debit", Table3289[2026-02-01])</f>
        <v>8140</v>
      </c>
      <c r="Y4" s="12">
        <f>SUMIF(Table3289[[Movement]:[Movement]],"Credit", Table3289[2026-03-01])-SUMIF(Table3289[[Movement]:[Movement]],"Debit", Table3289[2026-03-01])</f>
        <v>8140</v>
      </c>
      <c r="Z4" s="12">
        <f>SUMIF(Table3289[[Movement]:[Movement]],"Credit", Table3289[2026-04-01])-SUMIF(Table3289[[Movement]:[Movement]],"Debit", Table3289[2026-04-01])</f>
        <v>8140</v>
      </c>
      <c r="AA4" s="12">
        <f>SUMIF(Table3289[[Movement]:[Movement]],"Credit", Table3289[2026-05-01])-SUMIF(Table3289[[Movement]:[Movement]],"Debit", Table3289[2026-05-01])</f>
        <v>8140</v>
      </c>
      <c r="AB4" s="12">
        <f>SUMIF(Table3289[[Movement]:[Movement]],"Credit", Table3289[2026-06-01])-SUMIF(Table3289[[Movement]:[Movement]],"Debit", Table3289[2026-06-01])</f>
        <v>8140</v>
      </c>
      <c r="AC4" s="12">
        <f>SUMIF(Table3289[[Movement]:[Movement]],"Credit", Table3289[2026-07-01])-SUMIF(Table3289[[Movement]:[Movement]],"Debit", Table3289[2026-07-01])</f>
        <v>8140</v>
      </c>
      <c r="AD4" s="12">
        <f>SUMIF(Table3289[[Movement]:[Movement]],"Credit", Table3289[2026-08-01])-SUMIF(Table3289[[Movement]:[Movement]],"Debit", Table3289[2026-08-01])</f>
        <v>8140</v>
      </c>
      <c r="AE4" s="12">
        <f>SUMIF(Table3289[[Movement]:[Movement]],"Credit", Table3289[2026-09-01])-SUMIF(Table3289[[Movement]:[Movement]],"Debit", Table3289[2026-09-01])</f>
        <v>8140</v>
      </c>
      <c r="AF4" s="12">
        <f>SUMIF(Table3289[[Movement]:[Movement]],"Credit", Table3289[2026-10-01])-SUMIF(Table3289[[Movement]:[Movement]],"Debit", Table3289[2026-10-01])</f>
        <v>8140</v>
      </c>
      <c r="AG4" s="12">
        <f>SUMIF(Table3289[[Movement]:[Movement]],"Credit", Table3289[2026-11-01])-SUMIF(Table3289[[Movement]:[Movement]],"Debit", Table3289[2026-11-01])</f>
        <v>8140</v>
      </c>
      <c r="AH4" s="12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sheetPr codeName="Sheet7"/>
  <dimension ref="A1:AH9"/>
  <sheetViews>
    <sheetView showGridLines="0" workbookViewId="0">
      <selection activeCell="V35" sqref="V35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7" width="17" hidden="1" customWidth="1"/>
    <col min="8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52</v>
      </c>
      <c r="L1" s="20" t="s">
        <v>53</v>
      </c>
      <c r="M1" s="20" t="s">
        <v>54</v>
      </c>
      <c r="N1" s="20" t="s">
        <v>55</v>
      </c>
      <c r="O1" s="26" t="s">
        <v>57</v>
      </c>
      <c r="P1" s="26" t="s">
        <v>56</v>
      </c>
      <c r="Q1" s="26" t="s">
        <v>58</v>
      </c>
      <c r="R1" s="26" t="s">
        <v>59</v>
      </c>
      <c r="S1" s="26" t="s">
        <v>60</v>
      </c>
      <c r="T1" s="26" t="s">
        <v>61</v>
      </c>
      <c r="U1" s="26" t="s">
        <v>62</v>
      </c>
      <c r="V1" s="26" t="s">
        <v>63</v>
      </c>
      <c r="W1" s="26" t="s">
        <v>64</v>
      </c>
      <c r="X1" s="26" t="s">
        <v>65</v>
      </c>
      <c r="Y1" s="26" t="s">
        <v>66</v>
      </c>
      <c r="Z1" s="26" t="s">
        <v>67</v>
      </c>
      <c r="AA1" s="26" t="s">
        <v>75</v>
      </c>
      <c r="AB1" s="26" t="s">
        <v>68</v>
      </c>
      <c r="AC1" s="26" t="s">
        <v>69</v>
      </c>
      <c r="AD1" s="26" t="s">
        <v>70</v>
      </c>
      <c r="AE1" s="26" t="s">
        <v>71</v>
      </c>
      <c r="AF1" s="26" t="s">
        <v>72</v>
      </c>
      <c r="AG1" s="26" t="s">
        <v>73</v>
      </c>
      <c r="AH1" s="26" t="s">
        <v>74</v>
      </c>
    </row>
    <row r="2" spans="1:34" ht="22" x14ac:dyDescent="0.3">
      <c r="A2" s="15" t="s">
        <v>50</v>
      </c>
      <c r="B2" s="15" t="s">
        <v>36</v>
      </c>
      <c r="C2" s="7">
        <v>1000</v>
      </c>
      <c r="D2" s="7">
        <v>1000</v>
      </c>
      <c r="E2" s="7">
        <v>750</v>
      </c>
      <c r="F2" s="7">
        <v>250</v>
      </c>
      <c r="G2" s="7">
        <v>750</v>
      </c>
      <c r="H2" s="7">
        <v>1000</v>
      </c>
      <c r="I2" s="7">
        <v>750</v>
      </c>
      <c r="J2" s="7">
        <v>750</v>
      </c>
      <c r="K2" s="7">
        <v>1000</v>
      </c>
      <c r="L2" s="7">
        <v>1000</v>
      </c>
      <c r="M2" s="7">
        <v>1000</v>
      </c>
      <c r="N2" s="7">
        <v>1000</v>
      </c>
      <c r="O2" s="7">
        <v>1000</v>
      </c>
      <c r="P2" s="7">
        <v>1000</v>
      </c>
      <c r="Q2" s="7">
        <v>1000</v>
      </c>
      <c r="R2" s="7">
        <v>1000</v>
      </c>
      <c r="S2" s="7">
        <v>1000</v>
      </c>
      <c r="T2" s="7">
        <v>1000</v>
      </c>
      <c r="U2" s="7">
        <v>1000</v>
      </c>
      <c r="V2" s="7">
        <v>1000</v>
      </c>
      <c r="W2" s="7">
        <v>1000</v>
      </c>
      <c r="X2" s="7">
        <v>1000</v>
      </c>
      <c r="Y2" s="7">
        <v>1000</v>
      </c>
      <c r="Z2" s="7">
        <v>1000</v>
      </c>
      <c r="AA2" s="7">
        <v>1000</v>
      </c>
      <c r="AB2" s="7">
        <v>1000</v>
      </c>
      <c r="AC2" s="7">
        <v>1000</v>
      </c>
      <c r="AD2" s="7">
        <v>1000</v>
      </c>
      <c r="AE2" s="7">
        <v>1000</v>
      </c>
      <c r="AF2" s="7">
        <v>1000</v>
      </c>
      <c r="AG2" s="7"/>
      <c r="AH2" s="7"/>
    </row>
    <row r="3" spans="1:34" s="2" customFormat="1" ht="22" x14ac:dyDescent="0.3">
      <c r="A3" s="56" t="s">
        <v>50</v>
      </c>
      <c r="B3" s="15" t="s">
        <v>90</v>
      </c>
      <c r="C3" s="7"/>
      <c r="D3" s="7"/>
      <c r="E3" s="7"/>
      <c r="F3" s="7"/>
      <c r="G3" s="7"/>
      <c r="H3" s="7">
        <v>3495</v>
      </c>
      <c r="I3" s="7"/>
      <c r="J3" s="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</row>
    <row r="4" spans="1:34" s="2" customFormat="1" ht="22" x14ac:dyDescent="0.3">
      <c r="A4" s="15" t="s">
        <v>50</v>
      </c>
      <c r="B4" s="15" t="s">
        <v>0</v>
      </c>
      <c r="C4" s="7">
        <v>1000</v>
      </c>
      <c r="D4" s="7">
        <v>1000</v>
      </c>
      <c r="E4" s="7"/>
      <c r="F4" s="7"/>
      <c r="G4" s="7">
        <v>500</v>
      </c>
      <c r="H4" s="7">
        <v>1000</v>
      </c>
      <c r="I4" s="7">
        <v>1000</v>
      </c>
      <c r="J4" s="7">
        <v>1000</v>
      </c>
      <c r="K4" s="7">
        <v>5000</v>
      </c>
      <c r="L4" s="7">
        <v>5000</v>
      </c>
      <c r="M4" s="7">
        <v>5000</v>
      </c>
      <c r="N4" s="7">
        <v>5000</v>
      </c>
      <c r="O4" s="7">
        <v>5000</v>
      </c>
      <c r="P4" s="7">
        <v>5000</v>
      </c>
      <c r="Q4" s="7">
        <v>6000</v>
      </c>
      <c r="R4" s="7">
        <v>6000</v>
      </c>
      <c r="S4" s="7">
        <v>6000</v>
      </c>
      <c r="T4" s="7">
        <v>6000</v>
      </c>
      <c r="U4" s="7">
        <v>6000</v>
      </c>
      <c r="V4" s="7">
        <v>6000</v>
      </c>
      <c r="W4" s="7">
        <v>6000</v>
      </c>
      <c r="X4" s="7">
        <v>6000</v>
      </c>
      <c r="Y4" s="7">
        <v>6000</v>
      </c>
      <c r="Z4" s="7">
        <v>6000</v>
      </c>
      <c r="AA4" s="7">
        <v>6000</v>
      </c>
      <c r="AB4" s="7">
        <v>6000</v>
      </c>
      <c r="AC4" s="7">
        <v>6000</v>
      </c>
      <c r="AD4" s="7">
        <v>6000</v>
      </c>
      <c r="AE4" s="7">
        <v>6000</v>
      </c>
      <c r="AF4" s="7">
        <v>6000</v>
      </c>
      <c r="AG4" s="7"/>
      <c r="AH4" s="7"/>
    </row>
    <row r="5" spans="1:34" s="3" customFormat="1" ht="22" x14ac:dyDescent="0.3">
      <c r="A5" s="50" t="s">
        <v>51</v>
      </c>
      <c r="B5" s="25" t="s">
        <v>34</v>
      </c>
      <c r="C5" s="51">
        <v>10800</v>
      </c>
      <c r="D5" s="51">
        <v>5400</v>
      </c>
      <c r="E5" s="51">
        <v>5400</v>
      </c>
      <c r="F5" s="51">
        <v>5400</v>
      </c>
      <c r="G5" s="51">
        <v>5400</v>
      </c>
      <c r="H5" s="51">
        <v>5400</v>
      </c>
      <c r="I5" s="51"/>
      <c r="J5" s="51"/>
      <c r="K5" s="52">
        <v>5500</v>
      </c>
      <c r="L5" s="52">
        <v>5500</v>
      </c>
      <c r="M5" s="52">
        <v>5500</v>
      </c>
      <c r="N5" s="52">
        <v>5500</v>
      </c>
      <c r="O5" s="52">
        <v>5500</v>
      </c>
      <c r="P5" s="52">
        <v>5500</v>
      </c>
      <c r="Q5" s="52">
        <v>5500</v>
      </c>
      <c r="R5" s="52">
        <v>5500</v>
      </c>
      <c r="S5" s="52">
        <v>5500</v>
      </c>
      <c r="T5" s="52">
        <v>5500</v>
      </c>
      <c r="U5" s="52"/>
      <c r="V5" s="52"/>
      <c r="W5" s="52">
        <v>5600</v>
      </c>
      <c r="X5" s="52">
        <v>5600</v>
      </c>
      <c r="Y5" s="52">
        <v>5600</v>
      </c>
      <c r="Z5" s="52">
        <v>5600</v>
      </c>
      <c r="AA5" s="52">
        <v>5600</v>
      </c>
      <c r="AB5" s="52">
        <v>5600</v>
      </c>
      <c r="AC5" s="52">
        <v>5600</v>
      </c>
      <c r="AD5" s="52">
        <v>5600</v>
      </c>
      <c r="AE5" s="52">
        <v>5600</v>
      </c>
      <c r="AF5" s="52">
        <v>5600</v>
      </c>
      <c r="AG5" s="52"/>
      <c r="AH5" s="52"/>
    </row>
    <row r="6" spans="1:34" s="3" customFormat="1" ht="22" x14ac:dyDescent="0.3">
      <c r="A6" s="50" t="s">
        <v>51</v>
      </c>
      <c r="B6" s="25" t="s">
        <v>26</v>
      </c>
      <c r="C6" s="51">
        <v>0</v>
      </c>
      <c r="D6" s="51"/>
      <c r="E6" s="51"/>
      <c r="F6" s="51"/>
      <c r="G6" s="51"/>
      <c r="H6" s="51"/>
      <c r="I6" s="51"/>
      <c r="J6" s="51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2"/>
      <c r="AH6" s="52"/>
    </row>
    <row r="7" spans="1:34" s="3" customFormat="1" ht="22" x14ac:dyDescent="0.3">
      <c r="A7" s="50" t="s">
        <v>51</v>
      </c>
      <c r="B7" s="25" t="s">
        <v>33</v>
      </c>
      <c r="C7" s="51">
        <v>500</v>
      </c>
      <c r="D7" s="51"/>
      <c r="E7" s="51"/>
      <c r="F7" s="51"/>
      <c r="G7" s="51"/>
      <c r="H7" s="51"/>
      <c r="I7" s="51"/>
      <c r="J7" s="51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</row>
    <row r="8" spans="1:34" s="3" customFormat="1" ht="22" x14ac:dyDescent="0.3">
      <c r="A8" s="50" t="s">
        <v>51</v>
      </c>
      <c r="B8" s="25" t="s">
        <v>35</v>
      </c>
      <c r="C8" s="51"/>
      <c r="D8" s="51"/>
      <c r="E8" s="51"/>
      <c r="F8" s="51"/>
      <c r="G8" s="51"/>
      <c r="H8" s="51"/>
      <c r="I8" s="51"/>
      <c r="J8" s="51"/>
      <c r="K8" s="52">
        <v>22000</v>
      </c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>
        <v>23000</v>
      </c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</row>
    <row r="9" spans="1:34" ht="22" x14ac:dyDescent="0.3">
      <c r="A9" s="24" t="s">
        <v>77</v>
      </c>
      <c r="B9" s="32" t="s">
        <v>25</v>
      </c>
      <c r="C9" s="12">
        <f>SUMIF(Table328[[Movement]:[Movement]],"Credit", Table328[2024-05-01])-SUMIF(Table328[[Movement]:[Movement]],"Debit", Table328[2024-05-01])</f>
        <v>-9300</v>
      </c>
      <c r="D9" s="12">
        <f>SUMIF(Table328[[Movement]:[Movement]],"Credit", Table328[2024-06-01])-SUMIF(Table328[[Movement]:[Movement]],"Debit", Table328[2024-06-01])</f>
        <v>-3400</v>
      </c>
      <c r="E9" s="12">
        <f>SUMIF(Table328[[Movement]:[Movement]],"Credit", Table328[2024-07-01])-SUMIF(Table328[[Movement]:[Movement]],"Debit", Table328[2024-07-01])</f>
        <v>-4650</v>
      </c>
      <c r="F9" s="12">
        <f>SUMIF(Table328[[Movement]:[Movement]],"Credit", Table328[2024-08-01])-SUMIF(Table328[[Movement]:[Movement]],"Debit", Table328[2024-08-01])</f>
        <v>-5150</v>
      </c>
      <c r="G9" s="12">
        <f>SUMIF(Table328[[Movement]:[Movement]],"Credit", Table328[2024-09-01])-SUMIF(Table328[[Movement]:[Movement]],"Debit", Table328[2024-09-01])</f>
        <v>-4150</v>
      </c>
      <c r="H9" s="12">
        <f>SUMIF(Table328[[Movement]:[Movement]],"Credit", Table328[2024-10-01])-SUMIF(Table328[[Movement]:[Movement]],"Debit", Table328[2024-10-01])</f>
        <v>95</v>
      </c>
      <c r="I9" s="12">
        <f>SUMIF(Table328[[Movement]:[Movement]],"Credit", Table328[2024-11-01])-SUMIF(Table328[[Movement]:[Movement]],"Debit", Table328[2024-11-01])</f>
        <v>1750</v>
      </c>
      <c r="J9" s="12">
        <f>SUMIF(Table328[[Movement]:[Movement]],"Credit", Table328[2024-12-01])-SUMIF(Table328[[Movement]:[Movement]],"Debit", Table328[2024-12-01])</f>
        <v>1750</v>
      </c>
      <c r="K9" s="12">
        <f>SUMIF(Table328[[Movement]:[Movement]],"Credit", Table328[2025-01-01])-SUMIF(Table328[[Movement]:[Movement]],"Debit", Table328[2025-01-01])</f>
        <v>-21500</v>
      </c>
      <c r="L9" s="12">
        <f>SUMIF(Table328[[Movement]:[Movement]],"Credit", Table328[2025-02-01])-SUMIF(Table328[[Movement]:[Movement]],"Debit", Table328[2025-02-01])</f>
        <v>500</v>
      </c>
      <c r="M9" s="12">
        <f>SUMIF(Table328[[Movement]:[Movement]],"Credit", Table328[2025-03-01])-SUMIF(Table328[[Movement]:[Movement]],"Debit", Table328[2025-03-01])</f>
        <v>500</v>
      </c>
      <c r="N9" s="12">
        <f>SUMIF(Table328[[Movement]:[Movement]],"Credit", Table328[2025-04-01])-SUMIF(Table328[[Movement]:[Movement]],"Debit", Table328[2025-04-01])</f>
        <v>500</v>
      </c>
      <c r="O9" s="12">
        <f>SUMIF(Table328[[Movement]:[Movement]],"Credit", Table328[2025-05-01])-SUMIF(Table328[[Movement]:[Movement]],"Debit", Table328[2025-05-01])</f>
        <v>500</v>
      </c>
      <c r="P9" s="12">
        <f>SUMIF(Table328[[Movement]:[Movement]],"Credit", Table328[2025-06-01])-SUMIF(Table328[[Movement]:[Movement]],"Debit", Table328[2025-06-01])</f>
        <v>500</v>
      </c>
      <c r="Q9" s="12">
        <f>SUMIF(Table328[[Movement]:[Movement]],"Credit", Table328[2025-07-01])-SUMIF(Table328[[Movement]:[Movement]],"Debit", Table328[2025-07-01])</f>
        <v>1500</v>
      </c>
      <c r="R9" s="12">
        <f>SUMIF(Table328[[Movement]:[Movement]],"Credit", Table328[2025-08-01])-SUMIF(Table328[[Movement]:[Movement]],"Debit", Table328[2025-08-01])</f>
        <v>1500</v>
      </c>
      <c r="S9" s="12">
        <f>SUMIF(Table328[[Movement]:[Movement]],"Credit", Table328[2025-09-01])-SUMIF(Table328[[Movement]:[Movement]],"Debit", Table328[2025-09-01])</f>
        <v>1500</v>
      </c>
      <c r="T9" s="12">
        <f>SUMIF(Table328[[Movement]:[Movement]],"Credit", Table328[2025-10-01])-SUMIF(Table328[[Movement]:[Movement]],"Debit", Table328[2025-10-01])</f>
        <v>1500</v>
      </c>
      <c r="U9" s="12">
        <f>SUMIF(Table328[[Movement]:[Movement]],"Credit", Table328[2025-11-01])-SUMIF(Table328[[Movement]:[Movement]],"Debit", Table328[2025-11-01])</f>
        <v>7000</v>
      </c>
      <c r="V9" s="12">
        <f>SUMIF(Table328[[Movement]:[Movement]],"Credit", Table328[2025-12-01])-SUMIF(Table328[[Movement]:[Movement]],"Debit", Table328[2025-12-01])</f>
        <v>7000</v>
      </c>
      <c r="W9" s="12">
        <f>SUMIF(Table328[[Movement]:[Movement]],"Credit", Table328[2026-01-01])-SUMIF(Table328[[Movement]:[Movement]],"Debit", Table328[2026-01-01])</f>
        <v>-21600</v>
      </c>
      <c r="X9" s="12">
        <f>SUMIF(Table328[[Movement]:[Movement]],"Credit", Table328[2026-02-01])-SUMIF(Table328[[Movement]:[Movement]],"Debit", Table328[2026-02-01])</f>
        <v>1400</v>
      </c>
      <c r="Y9" s="12">
        <f>SUMIF(Table328[[Movement]:[Movement]],"Credit", Table328[2026-03-01])-SUMIF(Table328[[Movement]:[Movement]],"Debit", Table328[2026-03-01])</f>
        <v>1400</v>
      </c>
      <c r="Z9" s="12">
        <f>SUMIF(Table328[[Movement]:[Movement]],"Credit", Table328[2026-04-01])-SUMIF(Table328[[Movement]:[Movement]],"Debit", Table328[2026-04-01])</f>
        <v>1400</v>
      </c>
      <c r="AA9" s="12">
        <f>SUMIF(Table328[[Movement]:[Movement]],"Credit", Table328[2026-05-01])-SUMIF(Table328[[Movement]:[Movement]],"Debit", Table328[2026-05-01])</f>
        <v>1400</v>
      </c>
      <c r="AB9" s="12">
        <f>SUMIF(Table328[[Movement]:[Movement]],"Credit", Table328[2026-06-01])-SUMIF(Table328[[Movement]:[Movement]],"Debit", Table328[2026-06-01])</f>
        <v>1400</v>
      </c>
      <c r="AC9" s="12">
        <f>SUMIF(Table328[[Movement]:[Movement]],"Credit", Table328[2026-07-01])-SUMIF(Table328[[Movement]:[Movement]],"Debit", Table328[2026-07-01])</f>
        <v>1400</v>
      </c>
      <c r="AD9" s="12">
        <f>SUMIF(Table328[[Movement]:[Movement]],"Credit", Table328[2026-08-01])-SUMIF(Table328[[Movement]:[Movement]],"Debit", Table328[2026-08-01])</f>
        <v>1400</v>
      </c>
      <c r="AE9" s="12">
        <f>SUMIF(Table328[[Movement]:[Movement]],"Credit", Table328[2026-09-01])-SUMIF(Table328[[Movement]:[Movement]],"Debit", Table328[2026-09-01])</f>
        <v>1400</v>
      </c>
      <c r="AF9" s="12">
        <f>SUMIF(Table328[[Movement]:[Movement]],"Credit", Table328[2026-10-01])-SUMIF(Table328[[Movement]:[Movement]],"Debit", Table328[2026-10-01])</f>
        <v>1400</v>
      </c>
      <c r="AG9" s="12">
        <f>SUMIF(Table328[[Movement]:[Movement]],"Credit", Table328[2026-11-01])-SUMIF(Table328[[Movement]:[Movement]],"Debit", Table328[2026-11-01])</f>
        <v>0</v>
      </c>
      <c r="AH9" s="12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sheetPr codeName="Sheet8"/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3" t="s">
        <v>23</v>
      </c>
      <c r="B1" s="34" t="s">
        <v>49</v>
      </c>
      <c r="C1" s="27" t="s">
        <v>38</v>
      </c>
      <c r="D1" s="27" t="s">
        <v>39</v>
      </c>
      <c r="E1" s="27" t="s">
        <v>41</v>
      </c>
      <c r="F1" s="27" t="s">
        <v>40</v>
      </c>
      <c r="G1" s="27" t="s">
        <v>42</v>
      </c>
      <c r="H1" s="27" t="s">
        <v>43</v>
      </c>
      <c r="I1" s="27" t="s">
        <v>44</v>
      </c>
      <c r="J1" s="27" t="s">
        <v>45</v>
      </c>
    </row>
    <row r="2" spans="1:10" ht="22" x14ac:dyDescent="0.3">
      <c r="A2" s="28" t="s">
        <v>50</v>
      </c>
      <c r="B2" s="28" t="s">
        <v>0</v>
      </c>
      <c r="C2" s="29">
        <v>200</v>
      </c>
      <c r="D2" s="29">
        <v>200</v>
      </c>
      <c r="E2" s="29">
        <v>200</v>
      </c>
      <c r="F2" s="29">
        <v>200</v>
      </c>
      <c r="G2" s="29">
        <v>200</v>
      </c>
      <c r="H2" s="29">
        <v>200</v>
      </c>
      <c r="I2" s="29">
        <v>200</v>
      </c>
      <c r="J2" s="29">
        <v>200</v>
      </c>
    </row>
    <row r="3" spans="1:10" ht="22" x14ac:dyDescent="0.3">
      <c r="A3" s="30" t="s">
        <v>51</v>
      </c>
      <c r="B3" s="30" t="s">
        <v>17</v>
      </c>
      <c r="C3" s="31">
        <v>0</v>
      </c>
      <c r="D3" s="31" t="s">
        <v>76</v>
      </c>
      <c r="E3" s="31" t="s">
        <v>76</v>
      </c>
      <c r="F3" s="31" t="s">
        <v>76</v>
      </c>
      <c r="G3" s="31" t="s">
        <v>76</v>
      </c>
      <c r="H3" s="31" t="s">
        <v>76</v>
      </c>
      <c r="I3" s="31" t="s">
        <v>76</v>
      </c>
      <c r="J3" s="31" t="s">
        <v>76</v>
      </c>
    </row>
    <row r="4" spans="1:10" s="48" customFormat="1" ht="22" x14ac:dyDescent="0.3">
      <c r="A4" s="47" t="s">
        <v>77</v>
      </c>
      <c r="B4" s="47" t="s">
        <v>46</v>
      </c>
      <c r="C4" s="49">
        <f>SUMIF(Table5[[Movement]:[Movement]],"Credit", Table5[2024-05-01])-SUMIF(Table5[[Movement]:[Movement]],"Debit", Table5[2024-05-01])</f>
        <v>200</v>
      </c>
      <c r="D4" s="49">
        <f>SUMIF(Table5[[Movement]:[Movement]],"Credit", Table5[2024-06-01])-SUMIF(Table5[[Movement]:[Movement]],"Debit", Table5[2024-06-01])</f>
        <v>200</v>
      </c>
      <c r="E4" s="49">
        <f>SUMIF(Table5[[Movement]:[Movement]],"Credit", Table5[2024-07-01])-SUMIF(Table5[[Movement]:[Movement]],"Debit", Table5[2024-07-01])</f>
        <v>200</v>
      </c>
      <c r="F4" s="49">
        <f>SUMIF(Table5[[Movement]:[Movement]],"Credit", Table5[2024-08-01])-SUMIF(Table5[[Movement]:[Movement]],"Debit", Table5[2024-08-01])</f>
        <v>200</v>
      </c>
      <c r="G4" s="49">
        <f>SUMIF(Table5[[Movement]:[Movement]],"Credit", Table5[2024-09-01])-SUMIF(Table5[[Movement]:[Movement]],"Debit", Table5[2024-09-01])</f>
        <v>200</v>
      </c>
      <c r="H4" s="49">
        <f>SUMIF(Table5[[Movement]:[Movement]],"Credit", Table5[2024-10-01])-SUMIF(Table5[[Movement]:[Movement]],"Debit", Table5[2024-10-01])</f>
        <v>200</v>
      </c>
      <c r="I4" s="49">
        <f>SUMIF(Table5[[Movement]:[Movement]],"Credit", Table5[2024-11-01])-SUMIF(Table5[[Movement]:[Movement]],"Debit", Table5[2024-11-01])</f>
        <v>200</v>
      </c>
      <c r="J4" s="49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sheetPr codeName="Sheet9"/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</row>
    <row r="2" spans="1:10" s="2" customFormat="1" ht="22" x14ac:dyDescent="0.3">
      <c r="A2" s="22" t="s">
        <v>50</v>
      </c>
      <c r="B2" s="15" t="s">
        <v>0</v>
      </c>
      <c r="C2" s="7"/>
      <c r="D2" s="7">
        <v>500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</row>
    <row r="3" spans="1:10" s="19" customFormat="1" ht="22" x14ac:dyDescent="0.3">
      <c r="A3" s="16" t="s">
        <v>51</v>
      </c>
      <c r="B3" s="17" t="s">
        <v>28</v>
      </c>
      <c r="C3" s="18"/>
      <c r="D3" s="18">
        <v>1000</v>
      </c>
      <c r="E3" s="18">
        <v>1000</v>
      </c>
      <c r="F3" s="18"/>
      <c r="G3" s="18"/>
      <c r="H3" s="18"/>
      <c r="I3" s="18"/>
      <c r="J3" s="18"/>
    </row>
    <row r="4" spans="1:10" s="19" customFormat="1" ht="22" x14ac:dyDescent="0.3">
      <c r="A4" s="16" t="s">
        <v>51</v>
      </c>
      <c r="B4" s="17" t="s">
        <v>29</v>
      </c>
      <c r="C4" s="18"/>
      <c r="D4" s="18"/>
      <c r="E4" s="18">
        <v>4000</v>
      </c>
      <c r="F4" s="18"/>
      <c r="G4" s="18"/>
      <c r="H4" s="18"/>
      <c r="I4" s="18"/>
      <c r="J4" s="18"/>
    </row>
    <row r="5" spans="1:10" s="19" customFormat="1" ht="22" x14ac:dyDescent="0.3">
      <c r="A5" s="16" t="s">
        <v>51</v>
      </c>
      <c r="B5" s="17" t="s">
        <v>31</v>
      </c>
      <c r="C5" s="18"/>
      <c r="D5" s="18"/>
      <c r="E5" s="18"/>
      <c r="F5" s="18"/>
      <c r="G5" s="18">
        <v>500</v>
      </c>
      <c r="H5" s="18"/>
      <c r="I5" s="18"/>
      <c r="J5" s="18"/>
    </row>
    <row r="6" spans="1:10" s="19" customFormat="1" ht="22" x14ac:dyDescent="0.3">
      <c r="A6" s="16" t="s">
        <v>51</v>
      </c>
      <c r="B6" s="17" t="s">
        <v>27</v>
      </c>
      <c r="C6" s="18"/>
      <c r="D6" s="18"/>
      <c r="E6" s="18"/>
      <c r="F6" s="18"/>
      <c r="G6" s="18"/>
      <c r="H6" s="18">
        <v>5000</v>
      </c>
      <c r="I6" s="18"/>
      <c r="J6" s="18"/>
    </row>
    <row r="7" spans="1:10" s="19" customFormat="1" ht="22" x14ac:dyDescent="0.3">
      <c r="A7" s="16" t="s">
        <v>51</v>
      </c>
      <c r="B7" s="17" t="s">
        <v>20</v>
      </c>
      <c r="C7" s="18"/>
      <c r="D7" s="18"/>
      <c r="E7" s="18">
        <v>3000</v>
      </c>
      <c r="F7" s="18"/>
      <c r="G7" s="18"/>
      <c r="H7" s="18"/>
      <c r="I7" s="18"/>
      <c r="J7" s="18"/>
    </row>
    <row r="8" spans="1:10" s="4" customFormat="1" ht="22" x14ac:dyDescent="0.3">
      <c r="A8" s="16" t="s">
        <v>51</v>
      </c>
      <c r="B8" s="16" t="s">
        <v>32</v>
      </c>
      <c r="C8" s="9"/>
      <c r="D8" s="9"/>
      <c r="E8" s="9"/>
      <c r="F8" s="9">
        <v>500</v>
      </c>
      <c r="G8" s="9"/>
      <c r="H8" s="9"/>
      <c r="I8" s="9"/>
      <c r="J8" s="9"/>
    </row>
    <row r="9" spans="1:10" ht="22" x14ac:dyDescent="0.3">
      <c r="A9" s="32" t="s">
        <v>77</v>
      </c>
      <c r="B9" s="32" t="s">
        <v>30</v>
      </c>
      <c r="C9" s="35">
        <f>SUMIF(Table32810[[Movement]:[Movement]],"Credit", Table32810[2024-05-01])-SUMIF(Table32810[[Movement]:[Movement]],"Debit", Table32810[2024-05-01])</f>
        <v>0</v>
      </c>
      <c r="D9" s="35">
        <f>SUMIF(Table32810[[Movement]:[Movement]],"Credit", Table32810[2024-06-01])-SUMIF(Table32810[[Movement]:[Movement]],"Debit", Table32810[2024-06-01])</f>
        <v>-500</v>
      </c>
      <c r="E9" s="35">
        <f>SUMIF(Table32810[[Movement]:[Movement]],"Credit", Table32810[2024-07-01])-SUMIF(Table32810[[Movement]:[Movement]],"Debit", Table32810[2024-07-01])</f>
        <v>-8000</v>
      </c>
      <c r="F9" s="35">
        <f>SUMIF(Table32810[[Movement]:[Movement]],"Credit", Table32810[2024-08-01])-SUMIF(Table32810[[Movement]:[Movement]],"Debit", Table32810[2024-08-01])</f>
        <v>-500</v>
      </c>
      <c r="G9" s="35">
        <f>SUMIF(Table32810[[Movement]:[Movement]],"Credit", Table32810[2024-09-01])-SUMIF(Table32810[[Movement]:[Movement]],"Debit", Table32810[2024-09-01])</f>
        <v>-500</v>
      </c>
      <c r="H9" s="35">
        <f>SUMIF(Table32810[[Movement]:[Movement]],"Credit", Table32810[2024-10-01])-SUMIF(Table32810[[Movement]:[Movement]],"Debit", Table32810[2024-10-01])</f>
        <v>-5000</v>
      </c>
      <c r="I9" s="35">
        <f>SUMIF(Table32810[[Movement]:[Movement]],"Credit", Table32810[2024-11-01])-SUMIF(Table32810[[Movement]:[Movement]],"Debit", Table32810[2024-11-01])</f>
        <v>0</v>
      </c>
      <c r="J9" s="35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3CD2B-2256-0F41-865B-B317649342C8}">
  <sheetPr codeName="Sheet10"/>
  <dimension ref="A1:K19"/>
  <sheetViews>
    <sheetView workbookViewId="0">
      <selection activeCell="H17" sqref="H17"/>
    </sheetView>
  </sheetViews>
  <sheetFormatPr baseColWidth="10" defaultRowHeight="16" x14ac:dyDescent="0.2"/>
  <cols>
    <col min="1" max="1" width="22" customWidth="1"/>
    <col min="2" max="2" width="22.5" customWidth="1"/>
  </cols>
  <sheetData>
    <row r="1" spans="1:11" x14ac:dyDescent="0.2">
      <c r="A1" t="s">
        <v>93</v>
      </c>
      <c r="B1" t="s">
        <v>94</v>
      </c>
      <c r="C1" t="s">
        <v>95</v>
      </c>
    </row>
    <row r="2" spans="1:11" x14ac:dyDescent="0.2">
      <c r="G2">
        <v>17112</v>
      </c>
      <c r="K2" t="s">
        <v>98</v>
      </c>
    </row>
    <row r="3" spans="1:11" x14ac:dyDescent="0.2">
      <c r="A3" s="58" t="s">
        <v>16</v>
      </c>
      <c r="B3" s="59">
        <v>8000</v>
      </c>
      <c r="C3" s="59">
        <v>8000</v>
      </c>
      <c r="K3">
        <v>7690</v>
      </c>
    </row>
    <row r="4" spans="1:11" x14ac:dyDescent="0.2">
      <c r="A4" s="58" t="s">
        <v>78</v>
      </c>
      <c r="B4" s="59">
        <v>1169</v>
      </c>
      <c r="C4" s="59">
        <v>1169</v>
      </c>
      <c r="G4">
        <v>1169</v>
      </c>
      <c r="J4" t="s">
        <v>99</v>
      </c>
      <c r="K4">
        <v>-400</v>
      </c>
    </row>
    <row r="5" spans="1:11" x14ac:dyDescent="0.2">
      <c r="A5" s="58" t="s">
        <v>46</v>
      </c>
      <c r="B5" s="59">
        <v>-200</v>
      </c>
      <c r="C5" s="59">
        <v>-200</v>
      </c>
      <c r="J5" t="s">
        <v>100</v>
      </c>
      <c r="K5">
        <v>-1000</v>
      </c>
    </row>
    <row r="6" spans="1:11" x14ac:dyDescent="0.2">
      <c r="A6" s="58" t="s">
        <v>7</v>
      </c>
      <c r="B6" s="59">
        <v>-610</v>
      </c>
      <c r="C6" s="59">
        <v>1220</v>
      </c>
      <c r="G6">
        <v>-1220</v>
      </c>
      <c r="J6" t="s">
        <v>101</v>
      </c>
      <c r="K6">
        <v>-3000</v>
      </c>
    </row>
    <row r="7" spans="1:11" x14ac:dyDescent="0.2">
      <c r="A7" s="58" t="s">
        <v>1</v>
      </c>
      <c r="B7" s="59">
        <v>-8140</v>
      </c>
      <c r="C7" s="59">
        <v>-8140</v>
      </c>
      <c r="G7">
        <v>-8020</v>
      </c>
      <c r="J7" t="s">
        <v>102</v>
      </c>
      <c r="K7">
        <v>1290</v>
      </c>
    </row>
    <row r="8" spans="1:11" x14ac:dyDescent="0.2">
      <c r="A8" s="58" t="s">
        <v>47</v>
      </c>
      <c r="B8" s="59">
        <v>-1000</v>
      </c>
      <c r="C8" s="59">
        <v>-1000</v>
      </c>
      <c r="G8">
        <v>-1000</v>
      </c>
      <c r="J8" t="s">
        <v>103</v>
      </c>
      <c r="K8">
        <v>1000</v>
      </c>
    </row>
    <row r="9" spans="1:11" x14ac:dyDescent="0.2">
      <c r="A9" s="58" t="s">
        <v>25</v>
      </c>
      <c r="B9" s="59">
        <v>-500</v>
      </c>
      <c r="C9" s="59"/>
      <c r="J9" t="s">
        <v>104</v>
      </c>
      <c r="K9">
        <v>1000</v>
      </c>
    </row>
    <row r="10" spans="1:11" x14ac:dyDescent="0.2">
      <c r="A10" s="58" t="s">
        <v>8</v>
      </c>
      <c r="B10" s="59">
        <v>-440</v>
      </c>
      <c r="C10" s="59">
        <v>-440</v>
      </c>
      <c r="G10">
        <v>-440</v>
      </c>
    </row>
    <row r="11" spans="1:11" x14ac:dyDescent="0.2">
      <c r="A11" s="58" t="s">
        <v>4</v>
      </c>
      <c r="B11" s="59">
        <v>-5600</v>
      </c>
      <c r="C11" s="59">
        <v>-5600</v>
      </c>
      <c r="G11">
        <v>-5600</v>
      </c>
    </row>
    <row r="12" spans="1:11" x14ac:dyDescent="0.2">
      <c r="A12" s="58" t="s">
        <v>13</v>
      </c>
      <c r="B12" s="59">
        <v>-3700</v>
      </c>
      <c r="C12" s="59">
        <v>-3700</v>
      </c>
      <c r="G12">
        <v>-3400</v>
      </c>
      <c r="H12" t="s">
        <v>105</v>
      </c>
    </row>
    <row r="13" spans="1:11" x14ac:dyDescent="0.2">
      <c r="A13" s="58" t="s">
        <v>21</v>
      </c>
      <c r="B13" s="59">
        <v>-170</v>
      </c>
      <c r="C13" s="59">
        <v>-170</v>
      </c>
      <c r="G13">
        <v>-170</v>
      </c>
    </row>
    <row r="14" spans="1:11" x14ac:dyDescent="0.2">
      <c r="A14" s="58" t="s">
        <v>30</v>
      </c>
      <c r="B14" s="59">
        <v>-3000</v>
      </c>
      <c r="C14" s="59"/>
    </row>
    <row r="15" spans="1:11" x14ac:dyDescent="0.2">
      <c r="A15" s="58" t="s">
        <v>5</v>
      </c>
      <c r="B15" s="59">
        <v>-117</v>
      </c>
      <c r="C15" s="59">
        <v>-117</v>
      </c>
      <c r="G15">
        <v>-117</v>
      </c>
    </row>
    <row r="16" spans="1:11" x14ac:dyDescent="0.2">
      <c r="A16" s="58" t="s">
        <v>6</v>
      </c>
      <c r="B16" s="59">
        <v>-988</v>
      </c>
      <c r="C16" s="59">
        <v>-988</v>
      </c>
      <c r="G16">
        <v>-988</v>
      </c>
    </row>
    <row r="17" spans="1:7" x14ac:dyDescent="0.2">
      <c r="A17" s="58" t="s">
        <v>81</v>
      </c>
      <c r="B17" s="59">
        <v>-500</v>
      </c>
      <c r="C17" s="59">
        <v>-500</v>
      </c>
    </row>
    <row r="18" spans="1:7" x14ac:dyDescent="0.2">
      <c r="A18" s="61" t="s">
        <v>97</v>
      </c>
      <c r="B18" s="62"/>
      <c r="C18" s="62">
        <v>610</v>
      </c>
      <c r="G18">
        <v>610</v>
      </c>
    </row>
    <row r="19" spans="1:7" x14ac:dyDescent="0.2">
      <c r="B19" s="60">
        <f>SUM(B3:B17)</f>
        <v>-15796</v>
      </c>
      <c r="C19" s="60">
        <f>SUM(C3:C18)</f>
        <v>-9856</v>
      </c>
      <c r="G19">
        <f>SUM(G2:G18)</f>
        <v>-2064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sheetPr codeName="Sheet11"/>
  <dimension ref="A1:J6"/>
  <sheetViews>
    <sheetView showGridLines="0" workbookViewId="0">
      <selection activeCell="N67" sqref="N67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7" width="15.1640625" hidden="1" customWidth="1"/>
    <col min="8" max="10" width="15.1640625" bestFit="1" customWidth="1"/>
  </cols>
  <sheetData>
    <row r="1" spans="1:10" ht="17" thickBot="1" x14ac:dyDescent="0.25">
      <c r="A1" s="5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</row>
    <row r="2" spans="1:10" s="2" customFormat="1" ht="22" x14ac:dyDescent="0.3">
      <c r="A2" s="15" t="s">
        <v>50</v>
      </c>
      <c r="B2" s="15" t="s">
        <v>0</v>
      </c>
      <c r="C2" s="23">
        <v>500</v>
      </c>
      <c r="D2" s="23">
        <v>1500</v>
      </c>
      <c r="E2" s="23">
        <v>250</v>
      </c>
      <c r="F2" s="23">
        <v>500</v>
      </c>
      <c r="G2" s="23">
        <v>500</v>
      </c>
      <c r="H2" s="23">
        <v>600</v>
      </c>
      <c r="I2" s="23">
        <v>500</v>
      </c>
      <c r="J2" s="23">
        <v>500</v>
      </c>
    </row>
    <row r="3" spans="1:10" s="4" customFormat="1" ht="22" x14ac:dyDescent="0.3">
      <c r="A3" s="16" t="s">
        <v>51</v>
      </c>
      <c r="B3" s="8" t="s">
        <v>11</v>
      </c>
      <c r="C3" s="9">
        <v>0</v>
      </c>
      <c r="D3" s="9">
        <v>200</v>
      </c>
      <c r="E3" s="9">
        <v>200</v>
      </c>
      <c r="F3" s="9">
        <v>200</v>
      </c>
      <c r="G3" s="9">
        <v>200</v>
      </c>
      <c r="H3" s="9">
        <v>200</v>
      </c>
      <c r="I3" s="9">
        <v>200</v>
      </c>
      <c r="J3" s="9">
        <v>200</v>
      </c>
    </row>
    <row r="4" spans="1:10" s="4" customFormat="1" ht="22" x14ac:dyDescent="0.3">
      <c r="A4" s="54" t="s">
        <v>51</v>
      </c>
      <c r="B4" s="16" t="s">
        <v>89</v>
      </c>
      <c r="C4" s="18"/>
      <c r="D4" s="18"/>
      <c r="E4" s="18"/>
      <c r="F4" s="18"/>
      <c r="G4" s="18">
        <v>110</v>
      </c>
      <c r="H4" s="18">
        <v>110</v>
      </c>
      <c r="I4" s="18">
        <v>110</v>
      </c>
      <c r="J4" s="18">
        <v>110</v>
      </c>
    </row>
    <row r="5" spans="1:10" s="4" customFormat="1" ht="22" x14ac:dyDescent="0.3">
      <c r="A5" s="16" t="s">
        <v>51</v>
      </c>
      <c r="B5" s="10" t="s">
        <v>12</v>
      </c>
      <c r="C5" s="11">
        <v>0</v>
      </c>
      <c r="D5" s="11">
        <v>230</v>
      </c>
      <c r="E5" s="11">
        <v>230</v>
      </c>
      <c r="F5" s="11">
        <v>230</v>
      </c>
      <c r="G5" s="11">
        <v>230</v>
      </c>
      <c r="H5" s="11">
        <v>230</v>
      </c>
      <c r="I5" s="11">
        <v>230</v>
      </c>
      <c r="J5" s="11">
        <v>230</v>
      </c>
    </row>
    <row r="6" spans="1:10" ht="22" x14ac:dyDescent="0.3">
      <c r="A6" s="13" t="s">
        <v>77</v>
      </c>
      <c r="B6" s="32" t="s">
        <v>10</v>
      </c>
      <c r="C6" s="12">
        <f>SUMIF(Table323[[Movement]:[Movement]],"Credit", Table323[2024-05-01])-SUMIF(Table323[[Movement]:[Movement]],"Debit", Table323[2024-05-01])</f>
        <v>500</v>
      </c>
      <c r="D6" s="12">
        <f>SUMIF(Table323[[Movement]:[Movement]],"Credit", Table323[2024-06-01])-SUMIF(Table323[[Movement]:[Movement]],"Debit", Table323[2024-06-01])</f>
        <v>1070</v>
      </c>
      <c r="E6" s="12">
        <f>SUMIF(Table323[[Movement]:[Movement]],"Credit", Table323[2024-07-01])-SUMIF(Table323[[Movement]:[Movement]],"Debit", Table323[2024-07-01])</f>
        <v>-180</v>
      </c>
      <c r="F6" s="12">
        <f>SUMIF(Table323[[Movement]:[Movement]],"Credit", Table323[2024-08-01])-SUMIF(Table323[[Movement]:[Movement]],"Debit", Table323[2024-08-01])</f>
        <v>70</v>
      </c>
      <c r="G6" s="12">
        <f>SUMIF(Table323[[Movement]:[Movement]],"Credit", Table323[2024-09-01])-SUMIF(Table323[[Movement]:[Movement]],"Debit", Table323[2024-09-01])</f>
        <v>-40</v>
      </c>
      <c r="H6" s="12">
        <f>SUMIF(Table323[[Movement]:[Movement]],"Credit", Table323[2024-10-01])-SUMIF(Table323[[Movement]:[Movement]],"Debit", Table323[2024-10-01])</f>
        <v>60</v>
      </c>
      <c r="I6" s="12">
        <f>SUMIF(Table323[[Movement]:[Movement]],"Credit", Table323[2024-11-01])-SUMIF(Table323[[Movement]:[Movement]],"Debit", Table323[2024-11-01])</f>
        <v>-40</v>
      </c>
      <c r="J6" s="12">
        <f>SUMIF(Table323[[Movement]:[Movement]],"Credit", Table323[2024-12-01])-SUMIF(Table323[[Movement]:[Movement]],"Debit", Table323[2024-12-01])</f>
        <v>-40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sheetPr codeName="Sheet12"/>
  <dimension ref="A1:U20"/>
  <sheetViews>
    <sheetView workbookViewId="0">
      <selection activeCell="B4" sqref="B4:K6"/>
    </sheetView>
  </sheetViews>
  <sheetFormatPr baseColWidth="10" defaultRowHeight="16" x14ac:dyDescent="0.2"/>
  <cols>
    <col min="2" max="2" width="29.83203125" bestFit="1" customWidth="1"/>
    <col min="3" max="10" width="16.5" hidden="1" customWidth="1"/>
    <col min="11" max="21" width="18.33203125" customWidth="1"/>
  </cols>
  <sheetData>
    <row r="1" spans="1:21" ht="17" thickBot="1" x14ac:dyDescent="0.25">
      <c r="A1" s="6" t="s">
        <v>23</v>
      </c>
      <c r="B1" s="14" t="s">
        <v>49</v>
      </c>
      <c r="C1" s="20" t="s">
        <v>38</v>
      </c>
      <c r="D1" s="20" t="s">
        <v>39</v>
      </c>
      <c r="E1" s="20" t="s">
        <v>41</v>
      </c>
      <c r="F1" s="20" t="s">
        <v>40</v>
      </c>
      <c r="G1" s="20" t="s">
        <v>42</v>
      </c>
      <c r="H1" s="20" t="s">
        <v>43</v>
      </c>
      <c r="I1" s="20" t="s">
        <v>44</v>
      </c>
      <c r="J1" s="20" t="s">
        <v>45</v>
      </c>
      <c r="K1" s="83" t="s">
        <v>53</v>
      </c>
      <c r="L1" s="83" t="s">
        <v>54</v>
      </c>
      <c r="M1" s="83" t="s">
        <v>55</v>
      </c>
      <c r="N1" s="83" t="s">
        <v>57</v>
      </c>
      <c r="O1" s="83" t="s">
        <v>56</v>
      </c>
      <c r="P1" s="83" t="s">
        <v>58</v>
      </c>
      <c r="Q1" s="83" t="s">
        <v>59</v>
      </c>
      <c r="R1" s="83" t="s">
        <v>60</v>
      </c>
      <c r="S1" s="83" t="s">
        <v>61</v>
      </c>
      <c r="T1" s="83" t="s">
        <v>62</v>
      </c>
      <c r="U1" s="83" t="s">
        <v>63</v>
      </c>
    </row>
    <row r="2" spans="1:21" s="2" customFormat="1" ht="22" x14ac:dyDescent="0.3">
      <c r="A2" s="22" t="s">
        <v>50</v>
      </c>
      <c r="B2" s="22" t="s">
        <v>16</v>
      </c>
      <c r="C2" s="21">
        <v>2000</v>
      </c>
      <c r="D2" s="21">
        <v>0</v>
      </c>
      <c r="E2" s="21">
        <v>500</v>
      </c>
      <c r="F2" s="21">
        <v>500</v>
      </c>
      <c r="G2" s="21">
        <v>500</v>
      </c>
      <c r="H2" s="21">
        <v>500</v>
      </c>
      <c r="I2" s="21">
        <v>500</v>
      </c>
      <c r="J2" s="21">
        <v>500</v>
      </c>
      <c r="K2" s="57">
        <v>900</v>
      </c>
      <c r="L2" s="57">
        <v>900</v>
      </c>
      <c r="M2" s="57">
        <v>900</v>
      </c>
      <c r="N2" s="57">
        <v>900</v>
      </c>
      <c r="O2" s="57">
        <v>900</v>
      </c>
      <c r="P2" s="57">
        <v>900</v>
      </c>
      <c r="Q2" s="57">
        <v>900</v>
      </c>
      <c r="R2" s="57">
        <v>800</v>
      </c>
      <c r="S2" s="57">
        <v>800</v>
      </c>
      <c r="T2" s="57">
        <v>800</v>
      </c>
      <c r="U2" s="57">
        <v>800</v>
      </c>
    </row>
    <row r="3" spans="1:21" s="2" customFormat="1" ht="22" x14ac:dyDescent="0.3">
      <c r="A3" s="15" t="s">
        <v>50</v>
      </c>
      <c r="B3" s="15" t="s">
        <v>90</v>
      </c>
      <c r="C3" s="7"/>
      <c r="D3" s="7"/>
      <c r="E3" s="7"/>
      <c r="F3" s="7"/>
      <c r="G3" s="7"/>
      <c r="H3" s="7"/>
      <c r="I3" s="7"/>
      <c r="J3" s="7"/>
      <c r="K3" s="57">
        <v>-30</v>
      </c>
      <c r="L3" s="57">
        <f>K7</f>
        <v>-4130</v>
      </c>
      <c r="M3" s="57">
        <f t="shared" ref="M3:U3" si="0">L7</f>
        <v>-3230</v>
      </c>
      <c r="N3" s="57">
        <f t="shared" si="0"/>
        <v>-2330</v>
      </c>
      <c r="O3" s="57">
        <f t="shared" si="0"/>
        <v>-1430</v>
      </c>
      <c r="P3" s="57">
        <f t="shared" si="0"/>
        <v>-530</v>
      </c>
      <c r="Q3" s="57">
        <f t="shared" si="0"/>
        <v>370</v>
      </c>
      <c r="R3" s="57">
        <f t="shared" si="0"/>
        <v>-2230</v>
      </c>
      <c r="S3" s="57">
        <f t="shared" si="0"/>
        <v>-1430</v>
      </c>
      <c r="T3" s="57">
        <f t="shared" si="0"/>
        <v>-630</v>
      </c>
      <c r="U3" s="57">
        <f t="shared" si="0"/>
        <v>170</v>
      </c>
    </row>
    <row r="4" spans="1:21" s="3" customFormat="1" ht="22" x14ac:dyDescent="0.3">
      <c r="A4" s="25" t="s">
        <v>51</v>
      </c>
      <c r="B4" s="25" t="s">
        <v>84</v>
      </c>
      <c r="C4" s="51"/>
      <c r="D4" s="51"/>
      <c r="E4" s="51">
        <v>3550</v>
      </c>
      <c r="F4" s="51"/>
      <c r="G4" s="51"/>
      <c r="H4" s="51"/>
      <c r="I4" s="51"/>
      <c r="J4" s="51"/>
      <c r="K4" s="52">
        <v>3500</v>
      </c>
      <c r="L4" s="52"/>
      <c r="M4" s="52"/>
      <c r="N4" s="52"/>
      <c r="O4" s="52"/>
      <c r="P4" s="52"/>
      <c r="Q4" s="52">
        <v>3500</v>
      </c>
      <c r="R4" s="52"/>
      <c r="S4" s="52"/>
      <c r="T4" s="52"/>
      <c r="U4" s="52"/>
    </row>
    <row r="5" spans="1:21" s="3" customFormat="1" ht="22" x14ac:dyDescent="0.3">
      <c r="A5" s="25" t="s">
        <v>51</v>
      </c>
      <c r="B5" s="25" t="s">
        <v>110</v>
      </c>
      <c r="C5" s="51"/>
      <c r="D5" s="51"/>
      <c r="E5" s="51"/>
      <c r="F5" s="51"/>
      <c r="G5" s="51"/>
      <c r="H5" s="51"/>
      <c r="I5" s="51"/>
      <c r="J5" s="51"/>
      <c r="K5" s="52">
        <v>1500</v>
      </c>
      <c r="L5" s="52"/>
      <c r="M5" s="52"/>
      <c r="N5" s="52"/>
      <c r="O5" s="52"/>
      <c r="P5" s="52"/>
      <c r="Q5" s="52"/>
      <c r="R5" s="52"/>
      <c r="S5" s="52"/>
      <c r="T5" s="52"/>
      <c r="U5" s="52"/>
    </row>
    <row r="6" spans="1:21" s="3" customFormat="1" ht="22" x14ac:dyDescent="0.3">
      <c r="A6" s="25" t="s">
        <v>51</v>
      </c>
      <c r="B6" s="36" t="s">
        <v>17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</row>
    <row r="7" spans="1:21" ht="22" x14ac:dyDescent="0.3">
      <c r="A7" s="32" t="s">
        <v>77</v>
      </c>
      <c r="B7" s="32" t="s">
        <v>9</v>
      </c>
      <c r="C7" s="35">
        <f>SUMIF(bcc[[Movement]:[Movement]],"Credit", bcc[2024-05-01])-SUMIF(bcc[[Movement]:[Movement]],"Debit",bcc[2024-05-01])</f>
        <v>2000</v>
      </c>
      <c r="D7" s="35">
        <f>SUMIF(bcc[[Movement]:[Movement]],"Credit", bcc[2024-06-01])-SUMIF(bcc[[Movement]:[Movement]],"Debit",bcc[2024-06-01])</f>
        <v>0</v>
      </c>
      <c r="E7" s="35">
        <f>SUMIF(bcc[[Movement]:[Movement]],"Credit", bcc[2024-07-01])-SUMIF(bcc[[Movement]:[Movement]],"Debit",bcc[2024-07-01])</f>
        <v>-3050</v>
      </c>
      <c r="F7" s="35">
        <f>SUMIF(bcc[[Movement]:[Movement]],"Credit", bcc[2024-08-01])-SUMIF(bcc[[Movement]:[Movement]],"Debit",bcc[2024-08-01])</f>
        <v>500</v>
      </c>
      <c r="G7" s="35">
        <f>SUMIF(bcc[[Movement]:[Movement]],"Credit", bcc[2024-09-01])-SUMIF(bcc[[Movement]:[Movement]],"Debit",bcc[2024-09-01])</f>
        <v>500</v>
      </c>
      <c r="H7" s="35">
        <f>SUMIF(bcc[[Movement]:[Movement]],"Credit", bcc[2024-10-01])-SUMIF(bcc[[Movement]:[Movement]],"Debit",bcc[2024-10-01])</f>
        <v>500</v>
      </c>
      <c r="I7" s="35">
        <f>SUMIF(bcc[[Movement]:[Movement]],"Credit", bcc[2024-11-01])-SUMIF(bcc[[Movement]:[Movement]],"Debit",bcc[2024-11-01])</f>
        <v>500</v>
      </c>
      <c r="J7" s="35">
        <f>SUMIF(bcc[[Movement]:[Movement]],"Credit", bcc[2024-12-01])-SUMIF(bcc[[Movement]:[Movement]],"Debit",bcc[2024-12-01])</f>
        <v>500</v>
      </c>
      <c r="K7" s="12">
        <f>SUMIF(bcc[Movement], "Credit", bcc[2025-02-01]) - SUMIF(bcc[Movement], "Debit", bcc[2025-02-01])</f>
        <v>-4130</v>
      </c>
      <c r="L7" s="12">
        <f>SUMIF(bcc[Movement], "Credit", bcc[2025-03-01]) - SUMIF(bcc[Movement], "Debit", bcc[2025-03-01])</f>
        <v>-3230</v>
      </c>
      <c r="M7" s="12">
        <f>SUMIF(bcc[Movement], "Credit", bcc[2025-04-01]) - SUMIF(bcc[Movement], "Debit", bcc[2025-04-01])</f>
        <v>-2330</v>
      </c>
      <c r="N7" s="12">
        <f>SUMIF(bcc[Movement], "Credit", bcc[2025-05-01]) - SUMIF(bcc[Movement], "Debit", bcc[2025-05-01])</f>
        <v>-1430</v>
      </c>
      <c r="O7" s="12">
        <f>SUMIF(bcc[Movement], "Credit", bcc[2025-06-01]) - SUMIF(bcc[Movement], "Debit", bcc[2025-06-01])</f>
        <v>-530</v>
      </c>
      <c r="P7" s="12">
        <f>SUMIF(bcc[Movement], "Credit", bcc[2025-07-01]) - SUMIF(bcc[Movement], "Debit", bcc[2025-07-01])</f>
        <v>370</v>
      </c>
      <c r="Q7" s="12">
        <f>SUMIF(bcc[Movement], "Credit", bcc[2025-08-01]) - SUMIF(bcc[Movement], "Debit", bcc[2025-08-01])</f>
        <v>-2230</v>
      </c>
      <c r="R7" s="12">
        <f>SUMIF(bcc[Movement], "Credit", bcc[2025-09-01]) - SUMIF(bcc[Movement], "Debit", bcc[2025-09-01])</f>
        <v>-1430</v>
      </c>
      <c r="S7" s="12">
        <f>SUMIF(bcc[Movement], "Credit", bcc[2025-10-01]) - SUMIF(bcc[Movement], "Debit", bcc[2025-10-01])</f>
        <v>-630</v>
      </c>
      <c r="T7" s="12">
        <f>SUMIF(bcc[Movement], "Credit", bcc[2025-11-01]) - SUMIF(bcc[Movement], "Debit", bcc[2025-11-01])</f>
        <v>170</v>
      </c>
      <c r="U7" s="12">
        <f>SUMIF(bcc[Movement], "Credit", bcc[2025-12-01]) - SUMIF(bcc[Movement], "Debit", bcc[2025-12-01])</f>
        <v>970</v>
      </c>
    </row>
    <row r="13" spans="1:21" x14ac:dyDescent="0.2">
      <c r="N13">
        <v>8000</v>
      </c>
    </row>
    <row r="14" spans="1:21" x14ac:dyDescent="0.2">
      <c r="N14">
        <v>30</v>
      </c>
    </row>
    <row r="15" spans="1:21" x14ac:dyDescent="0.2">
      <c r="N15">
        <v>1500</v>
      </c>
    </row>
    <row r="16" spans="1:21" x14ac:dyDescent="0.2">
      <c r="N16">
        <v>3500</v>
      </c>
    </row>
    <row r="17" spans="13:14" x14ac:dyDescent="0.2">
      <c r="M17" t="s">
        <v>106</v>
      </c>
      <c r="N17">
        <f>N13-SUM(N14:N16)</f>
        <v>2970</v>
      </c>
    </row>
    <row r="18" spans="13:14" x14ac:dyDescent="0.2">
      <c r="M18" t="s">
        <v>107</v>
      </c>
      <c r="N18">
        <f>SUM(N14:N16)</f>
        <v>5030</v>
      </c>
    </row>
    <row r="19" spans="13:14" x14ac:dyDescent="0.2">
      <c r="M19" t="s">
        <v>108</v>
      </c>
      <c r="N19">
        <f>N18/700</f>
        <v>7.1857142857142859</v>
      </c>
    </row>
    <row r="20" spans="13:14" x14ac:dyDescent="0.2">
      <c r="M20" t="s">
        <v>109</v>
      </c>
      <c r="N20">
        <f>N18/900</f>
        <v>5.5888888888888886</v>
      </c>
    </row>
  </sheetData>
  <pageMargins left="0.7" right="0.7" top="0.75" bottom="0.75" header="0.3" footer="0.3"/>
  <pageSetup paperSize="9" orientation="portrait" horizontalDpi="0" verticalDpi="0"/>
  <ignoredErrors>
    <ignoredError sqref="K3 K5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6006-47AC-144A-ABF5-DE356648E324}">
  <dimension ref="A1:AM38"/>
  <sheetViews>
    <sheetView topLeftCell="U1" zoomScale="306" workbookViewId="0">
      <selection activeCell="W9" sqref="W9:W32"/>
    </sheetView>
  </sheetViews>
  <sheetFormatPr baseColWidth="10" defaultRowHeight="16" x14ac:dyDescent="0.2"/>
  <cols>
    <col min="1" max="1" width="57.6640625" customWidth="1"/>
    <col min="20" max="20" width="58.33203125" customWidth="1"/>
    <col min="21" max="21" width="76.6640625" customWidth="1"/>
    <col min="22" max="22" width="58.33203125" bestFit="1" customWidth="1"/>
    <col min="23" max="23" width="10.83203125" customWidth="1"/>
  </cols>
  <sheetData>
    <row r="1" spans="1:23" x14ac:dyDescent="0.2">
      <c r="A1" s="110" t="s">
        <v>176</v>
      </c>
      <c r="B1" s="110" t="s">
        <v>177</v>
      </c>
      <c r="C1" s="110" t="s">
        <v>178</v>
      </c>
      <c r="D1" s="110" t="s">
        <v>179</v>
      </c>
      <c r="E1" s="110" t="s">
        <v>180</v>
      </c>
      <c r="F1" s="110" t="s">
        <v>181</v>
      </c>
      <c r="G1" s="110" t="s">
        <v>182</v>
      </c>
      <c r="H1" s="110" t="s">
        <v>183</v>
      </c>
      <c r="I1" s="110" t="s">
        <v>184</v>
      </c>
      <c r="J1" s="110" t="s">
        <v>185</v>
      </c>
      <c r="K1" s="110" t="s">
        <v>186</v>
      </c>
      <c r="L1" s="110" t="s">
        <v>187</v>
      </c>
      <c r="M1" s="110"/>
      <c r="N1" s="110"/>
      <c r="O1" s="110"/>
      <c r="P1" s="110"/>
      <c r="Q1" s="110"/>
      <c r="R1" s="110"/>
      <c r="S1" s="110"/>
      <c r="T1" s="110"/>
    </row>
    <row r="7" spans="1:23" x14ac:dyDescent="0.2">
      <c r="A7" s="111">
        <v>46753</v>
      </c>
      <c r="B7" s="111">
        <v>46784</v>
      </c>
      <c r="C7" s="111">
        <v>46813</v>
      </c>
      <c r="D7" s="111">
        <v>46844</v>
      </c>
      <c r="E7" s="111">
        <v>46874</v>
      </c>
      <c r="F7" s="111">
        <v>46905</v>
      </c>
      <c r="G7" s="111">
        <v>46935</v>
      </c>
      <c r="H7" s="111">
        <v>46966</v>
      </c>
      <c r="I7" s="111">
        <v>46997</v>
      </c>
      <c r="J7" s="111">
        <v>47027</v>
      </c>
      <c r="K7" s="111">
        <v>47058</v>
      </c>
      <c r="L7" s="111">
        <v>47088</v>
      </c>
    </row>
    <row r="9" spans="1:23" x14ac:dyDescent="0.2">
      <c r="O9" s="111">
        <v>46753</v>
      </c>
      <c r="R9" t="str">
        <f>TEXT(O9,"mmm-yy")</f>
        <v>Jan-28</v>
      </c>
      <c r="T9" t="str">
        <f>CONCATENATE("=SUMIF([Type], ""Income"",[",R9,"])-sumif([Type], ""Expense"",[",R9,"])")</f>
        <v>=SUMIF([Type], "Income",[Jan-28])-sumif([Type], "Expense",[Jan-28])</v>
      </c>
      <c r="U9" s="112" t="str">
        <f>CONCATENATE("=ROUND(Table143911[[#Totals],[", R9,"]]*$B$3,2)")</f>
        <v>=ROUND(Table143911[[#Totals],[Jan-28]]*$B$3,2)</v>
      </c>
      <c r="V9" t="s">
        <v>188</v>
      </c>
      <c r="W9" t="s">
        <v>189</v>
      </c>
    </row>
    <row r="10" spans="1:23" x14ac:dyDescent="0.2">
      <c r="O10" s="111">
        <v>46784</v>
      </c>
      <c r="R10" t="str">
        <f t="shared" ref="R10:R32" si="0">TEXT(O10,"mmm-yy")</f>
        <v>Feb-28</v>
      </c>
      <c r="T10" t="str">
        <f t="shared" ref="T10:T32" si="1">CONCATENATE("=SUMIF([Type], ""Income"",[",R10,"])-sumif([Type], ""Expense"",[",R10,"])")</f>
        <v>=SUMIF([Type], "Income",[Feb-28])-sumif([Type], "Expense",[Feb-28])</v>
      </c>
      <c r="U10" s="112" t="str">
        <f t="shared" ref="U10:U32" si="2">CONCATENATE("=ROUND(Table143911[[#Totals],[", R10,"]]*$B$3,2)")</f>
        <v>=ROUND(Table143911[[#Totals],[Feb-28]]*$B$3,2)</v>
      </c>
      <c r="V10" t="s">
        <v>190</v>
      </c>
      <c r="W10" t="s">
        <v>191</v>
      </c>
    </row>
    <row r="11" spans="1:23" x14ac:dyDescent="0.2">
      <c r="O11" s="111">
        <v>46813</v>
      </c>
      <c r="R11" t="str">
        <f t="shared" si="0"/>
        <v>Mar-28</v>
      </c>
      <c r="T11" t="str">
        <f t="shared" si="1"/>
        <v>=SUMIF([Type], "Income",[Mar-28])-sumif([Type], "Expense",[Mar-28])</v>
      </c>
      <c r="U11" s="112" t="str">
        <f t="shared" si="2"/>
        <v>=ROUND(Table143911[[#Totals],[Mar-28]]*$B$3,2)</v>
      </c>
      <c r="V11" t="s">
        <v>192</v>
      </c>
      <c r="W11" t="s">
        <v>193</v>
      </c>
    </row>
    <row r="12" spans="1:23" x14ac:dyDescent="0.2">
      <c r="O12" s="111">
        <v>46844</v>
      </c>
      <c r="R12" t="str">
        <f t="shared" si="0"/>
        <v>Apr-28</v>
      </c>
      <c r="T12" t="str">
        <f t="shared" si="1"/>
        <v>=SUMIF([Type], "Income",[Apr-28])-sumif([Type], "Expense",[Apr-28])</v>
      </c>
      <c r="U12" s="112" t="str">
        <f t="shared" si="2"/>
        <v>=ROUND(Table143911[[#Totals],[Apr-28]]*$B$3,2)</v>
      </c>
      <c r="V12" t="s">
        <v>194</v>
      </c>
      <c r="W12" t="s">
        <v>195</v>
      </c>
    </row>
    <row r="13" spans="1:23" x14ac:dyDescent="0.2">
      <c r="A13" t="s">
        <v>196</v>
      </c>
      <c r="O13" s="111">
        <v>46874</v>
      </c>
      <c r="R13" t="str">
        <f t="shared" si="0"/>
        <v>May-28</v>
      </c>
      <c r="T13" t="str">
        <f t="shared" si="1"/>
        <v>=SUMIF([Type], "Income",[May-28])-sumif([Type], "Expense",[May-28])</v>
      </c>
      <c r="U13" s="112" t="str">
        <f t="shared" si="2"/>
        <v>=ROUND(Table143911[[#Totals],[May-28]]*$B$3,2)</v>
      </c>
      <c r="V13" t="s">
        <v>197</v>
      </c>
      <c r="W13" t="s">
        <v>198</v>
      </c>
    </row>
    <row r="14" spans="1:23" x14ac:dyDescent="0.2">
      <c r="A14" t="s">
        <v>199</v>
      </c>
      <c r="O14" s="111">
        <v>46905</v>
      </c>
      <c r="R14" t="str">
        <f t="shared" si="0"/>
        <v>Jun-28</v>
      </c>
      <c r="T14" t="str">
        <f t="shared" si="1"/>
        <v>=SUMIF([Type], "Income",[Jun-28])-sumif([Type], "Expense",[Jun-28])</v>
      </c>
      <c r="U14" s="112" t="str">
        <f t="shared" si="2"/>
        <v>=ROUND(Table143911[[#Totals],[Jun-28]]*$B$3,2)</v>
      </c>
      <c r="V14" t="s">
        <v>200</v>
      </c>
      <c r="W14" t="s">
        <v>201</v>
      </c>
    </row>
    <row r="15" spans="1:23" x14ac:dyDescent="0.2">
      <c r="O15" s="111">
        <v>46935</v>
      </c>
      <c r="R15" t="str">
        <f t="shared" si="0"/>
        <v>Jul-28</v>
      </c>
      <c r="T15" t="str">
        <f t="shared" si="1"/>
        <v>=SUMIF([Type], "Income",[Jul-28])-sumif([Type], "Expense",[Jul-28])</v>
      </c>
      <c r="U15" s="112" t="str">
        <f t="shared" si="2"/>
        <v>=ROUND(Table143911[[#Totals],[Jul-28]]*$B$3,2)</v>
      </c>
      <c r="V15" t="s">
        <v>202</v>
      </c>
      <c r="W15" t="s">
        <v>203</v>
      </c>
    </row>
    <row r="16" spans="1:23" x14ac:dyDescent="0.2">
      <c r="O16" s="111">
        <v>46966</v>
      </c>
      <c r="R16" t="str">
        <f t="shared" si="0"/>
        <v>Aug-28</v>
      </c>
      <c r="T16" t="str">
        <f t="shared" si="1"/>
        <v>=SUMIF([Type], "Income",[Aug-28])-sumif([Type], "Expense",[Aug-28])</v>
      </c>
      <c r="U16" s="112" t="str">
        <f t="shared" si="2"/>
        <v>=ROUND(Table143911[[#Totals],[Aug-28]]*$B$3,2)</v>
      </c>
      <c r="V16" t="s">
        <v>204</v>
      </c>
      <c r="W16" t="s">
        <v>205</v>
      </c>
    </row>
    <row r="17" spans="1:23" x14ac:dyDescent="0.2">
      <c r="O17" s="111">
        <v>46997</v>
      </c>
      <c r="R17" t="str">
        <f t="shared" si="0"/>
        <v>Sep-28</v>
      </c>
      <c r="T17" t="str">
        <f t="shared" si="1"/>
        <v>=SUMIF([Type], "Income",[Sep-28])-sumif([Type], "Expense",[Sep-28])</v>
      </c>
      <c r="U17" s="112" t="str">
        <f t="shared" si="2"/>
        <v>=ROUND(Table143911[[#Totals],[Sep-28]]*$B$3,2)</v>
      </c>
      <c r="V17" t="s">
        <v>206</v>
      </c>
      <c r="W17" t="s">
        <v>207</v>
      </c>
    </row>
    <row r="18" spans="1:23" x14ac:dyDescent="0.2">
      <c r="A18" s="112" t="s">
        <v>208</v>
      </c>
      <c r="O18" s="111">
        <v>47027</v>
      </c>
      <c r="R18" t="str">
        <f t="shared" si="0"/>
        <v>Oct-28</v>
      </c>
      <c r="T18" t="str">
        <f t="shared" si="1"/>
        <v>=SUMIF([Type], "Income",[Oct-28])-sumif([Type], "Expense",[Oct-28])</v>
      </c>
      <c r="U18" s="112" t="str">
        <f t="shared" si="2"/>
        <v>=ROUND(Table143911[[#Totals],[Oct-28]]*$B$3,2)</v>
      </c>
      <c r="V18" t="s">
        <v>209</v>
      </c>
      <c r="W18" t="s">
        <v>210</v>
      </c>
    </row>
    <row r="19" spans="1:23" x14ac:dyDescent="0.2">
      <c r="O19" s="111">
        <v>47058</v>
      </c>
      <c r="R19" t="str">
        <f t="shared" si="0"/>
        <v>Nov-28</v>
      </c>
      <c r="T19" t="str">
        <f t="shared" si="1"/>
        <v>=SUMIF([Type], "Income",[Nov-28])-sumif([Type], "Expense",[Nov-28])</v>
      </c>
      <c r="U19" s="112" t="str">
        <f t="shared" si="2"/>
        <v>=ROUND(Table143911[[#Totals],[Nov-28]]*$B$3,2)</v>
      </c>
      <c r="V19" t="s">
        <v>211</v>
      </c>
      <c r="W19" t="s">
        <v>212</v>
      </c>
    </row>
    <row r="20" spans="1:23" x14ac:dyDescent="0.2">
      <c r="O20" s="111">
        <v>47088</v>
      </c>
      <c r="R20" t="str">
        <f t="shared" si="0"/>
        <v>Dec-28</v>
      </c>
      <c r="T20" t="str">
        <f t="shared" si="1"/>
        <v>=SUMIF([Type], "Income",[Dec-28])-sumif([Type], "Expense",[Dec-28])</v>
      </c>
      <c r="U20" s="112" t="str">
        <f t="shared" si="2"/>
        <v>=ROUND(Table143911[[#Totals],[Dec-28]]*$B$3,2)</v>
      </c>
      <c r="V20" t="s">
        <v>213</v>
      </c>
      <c r="W20" t="s">
        <v>214</v>
      </c>
    </row>
    <row r="21" spans="1:23" x14ac:dyDescent="0.2">
      <c r="O21" s="111">
        <v>47119</v>
      </c>
      <c r="R21" t="str">
        <f t="shared" si="0"/>
        <v>Jan-29</v>
      </c>
      <c r="T21" t="str">
        <f t="shared" si="1"/>
        <v>=SUMIF([Type], "Income",[Jan-29])-sumif([Type], "Expense",[Jan-29])</v>
      </c>
      <c r="U21" s="112" t="str">
        <f t="shared" si="2"/>
        <v>=ROUND(Table143911[[#Totals],[Jan-29]]*$B$3,2)</v>
      </c>
      <c r="V21" t="s">
        <v>215</v>
      </c>
      <c r="W21" t="s">
        <v>216</v>
      </c>
    </row>
    <row r="22" spans="1:23" x14ac:dyDescent="0.2">
      <c r="O22" s="111">
        <v>47150</v>
      </c>
      <c r="R22" t="str">
        <f t="shared" si="0"/>
        <v>Feb-29</v>
      </c>
      <c r="T22" t="str">
        <f t="shared" si="1"/>
        <v>=SUMIF([Type], "Income",[Feb-29])-sumif([Type], "Expense",[Feb-29])</v>
      </c>
      <c r="U22" s="112" t="str">
        <f t="shared" si="2"/>
        <v>=ROUND(Table143911[[#Totals],[Feb-29]]*$B$3,2)</v>
      </c>
      <c r="V22" t="s">
        <v>217</v>
      </c>
      <c r="W22" t="s">
        <v>218</v>
      </c>
    </row>
    <row r="23" spans="1:23" x14ac:dyDescent="0.2">
      <c r="O23" s="111">
        <v>47178</v>
      </c>
      <c r="R23" t="str">
        <f t="shared" si="0"/>
        <v>Mar-29</v>
      </c>
      <c r="T23" t="str">
        <f t="shared" si="1"/>
        <v>=SUMIF([Type], "Income",[Mar-29])-sumif([Type], "Expense",[Mar-29])</v>
      </c>
      <c r="U23" s="112" t="str">
        <f t="shared" si="2"/>
        <v>=ROUND(Table143911[[#Totals],[Mar-29]]*$B$3,2)</v>
      </c>
      <c r="V23" t="s">
        <v>219</v>
      </c>
      <c r="W23" t="s">
        <v>220</v>
      </c>
    </row>
    <row r="24" spans="1:23" x14ac:dyDescent="0.2">
      <c r="O24" s="111">
        <v>47209</v>
      </c>
      <c r="R24" t="str">
        <f t="shared" si="0"/>
        <v>Apr-29</v>
      </c>
      <c r="T24" t="str">
        <f t="shared" si="1"/>
        <v>=SUMIF([Type], "Income",[Apr-29])-sumif([Type], "Expense",[Apr-29])</v>
      </c>
      <c r="U24" s="112" t="str">
        <f t="shared" si="2"/>
        <v>=ROUND(Table143911[[#Totals],[Apr-29]]*$B$3,2)</v>
      </c>
      <c r="V24" t="s">
        <v>221</v>
      </c>
      <c r="W24" t="s">
        <v>222</v>
      </c>
    </row>
    <row r="25" spans="1:23" x14ac:dyDescent="0.2">
      <c r="O25" s="111">
        <v>47239</v>
      </c>
      <c r="R25" t="str">
        <f t="shared" si="0"/>
        <v>May-29</v>
      </c>
      <c r="T25" t="str">
        <f t="shared" si="1"/>
        <v>=SUMIF([Type], "Income",[May-29])-sumif([Type], "Expense",[May-29])</v>
      </c>
      <c r="U25" s="112" t="str">
        <f t="shared" si="2"/>
        <v>=ROUND(Table143911[[#Totals],[May-29]]*$B$3,2)</v>
      </c>
      <c r="V25" t="s">
        <v>223</v>
      </c>
      <c r="W25" t="s">
        <v>224</v>
      </c>
    </row>
    <row r="26" spans="1:23" x14ac:dyDescent="0.2">
      <c r="O26" s="111">
        <v>47270</v>
      </c>
      <c r="R26" t="str">
        <f t="shared" si="0"/>
        <v>Jun-29</v>
      </c>
      <c r="T26" t="str">
        <f t="shared" si="1"/>
        <v>=SUMIF([Type], "Income",[Jun-29])-sumif([Type], "Expense",[Jun-29])</v>
      </c>
      <c r="U26" s="112" t="str">
        <f t="shared" si="2"/>
        <v>=ROUND(Table143911[[#Totals],[Jun-29]]*$B$3,2)</v>
      </c>
      <c r="V26" t="s">
        <v>225</v>
      </c>
      <c r="W26" t="s">
        <v>226</v>
      </c>
    </row>
    <row r="27" spans="1:23" x14ac:dyDescent="0.2">
      <c r="O27" s="111">
        <v>47300</v>
      </c>
      <c r="R27" t="str">
        <f t="shared" si="0"/>
        <v>Jul-29</v>
      </c>
      <c r="T27" t="str">
        <f t="shared" si="1"/>
        <v>=SUMIF([Type], "Income",[Jul-29])-sumif([Type], "Expense",[Jul-29])</v>
      </c>
      <c r="U27" s="112" t="str">
        <f t="shared" si="2"/>
        <v>=ROUND(Table143911[[#Totals],[Jul-29]]*$B$3,2)</v>
      </c>
      <c r="V27" t="s">
        <v>227</v>
      </c>
      <c r="W27" t="s">
        <v>228</v>
      </c>
    </row>
    <row r="28" spans="1:23" x14ac:dyDescent="0.2">
      <c r="O28" s="111">
        <v>47331</v>
      </c>
      <c r="R28" t="str">
        <f t="shared" si="0"/>
        <v>Aug-29</v>
      </c>
      <c r="T28" t="str">
        <f t="shared" si="1"/>
        <v>=SUMIF([Type], "Income",[Aug-29])-sumif([Type], "Expense",[Aug-29])</v>
      </c>
      <c r="U28" s="112" t="str">
        <f t="shared" si="2"/>
        <v>=ROUND(Table143911[[#Totals],[Aug-29]]*$B$3,2)</v>
      </c>
      <c r="V28" t="s">
        <v>229</v>
      </c>
      <c r="W28" t="s">
        <v>230</v>
      </c>
    </row>
    <row r="29" spans="1:23" x14ac:dyDescent="0.2">
      <c r="O29" s="111">
        <v>47362</v>
      </c>
      <c r="R29" t="str">
        <f t="shared" si="0"/>
        <v>Sep-29</v>
      </c>
      <c r="T29" t="str">
        <f t="shared" si="1"/>
        <v>=SUMIF([Type], "Income",[Sep-29])-sumif([Type], "Expense",[Sep-29])</v>
      </c>
      <c r="U29" s="112" t="str">
        <f t="shared" si="2"/>
        <v>=ROUND(Table143911[[#Totals],[Sep-29]]*$B$3,2)</v>
      </c>
      <c r="V29" t="s">
        <v>231</v>
      </c>
      <c r="W29" t="s">
        <v>232</v>
      </c>
    </row>
    <row r="30" spans="1:23" x14ac:dyDescent="0.2">
      <c r="O30" s="111">
        <v>47392</v>
      </c>
      <c r="R30" t="str">
        <f t="shared" si="0"/>
        <v>Oct-29</v>
      </c>
      <c r="T30" t="str">
        <f t="shared" si="1"/>
        <v>=SUMIF([Type], "Income",[Oct-29])-sumif([Type], "Expense",[Oct-29])</v>
      </c>
      <c r="U30" s="112" t="str">
        <f t="shared" si="2"/>
        <v>=ROUND(Table143911[[#Totals],[Oct-29]]*$B$3,2)</v>
      </c>
      <c r="V30" t="s">
        <v>233</v>
      </c>
      <c r="W30" t="s">
        <v>234</v>
      </c>
    </row>
    <row r="31" spans="1:23" x14ac:dyDescent="0.2">
      <c r="O31" s="111">
        <v>47423</v>
      </c>
      <c r="R31" t="str">
        <f t="shared" si="0"/>
        <v>Nov-29</v>
      </c>
      <c r="T31" t="str">
        <f t="shared" si="1"/>
        <v>=SUMIF([Type], "Income",[Nov-29])-sumif([Type], "Expense",[Nov-29])</v>
      </c>
      <c r="U31" s="112" t="str">
        <f t="shared" si="2"/>
        <v>=ROUND(Table143911[[#Totals],[Nov-29]]*$B$3,2)</v>
      </c>
      <c r="V31" t="s">
        <v>235</v>
      </c>
      <c r="W31" t="s">
        <v>236</v>
      </c>
    </row>
    <row r="32" spans="1:23" x14ac:dyDescent="0.2">
      <c r="O32" s="111">
        <v>47453</v>
      </c>
      <c r="R32" t="str">
        <f t="shared" si="0"/>
        <v>Dec-29</v>
      </c>
      <c r="T32" t="str">
        <f t="shared" si="1"/>
        <v>=SUMIF([Type], "Income",[Dec-29])-sumif([Type], "Expense",[Dec-29])</v>
      </c>
      <c r="U32" s="112" t="str">
        <f t="shared" si="2"/>
        <v>=ROUND(Table143911[[#Totals],[Dec-29]]*$B$3,2)</v>
      </c>
      <c r="V32" t="s">
        <v>237</v>
      </c>
      <c r="W32" t="s">
        <v>238</v>
      </c>
    </row>
    <row r="38" spans="16:39" x14ac:dyDescent="0.2">
      <c r="P38" t="str">
        <f t="shared" ref="P38:AM38" si="3">CONCATENATE("=SUMIF([Type], ""Income"",[",P36,"])-sumif([Type], ""Expense"",[",P36,"])")</f>
        <v>=SUMIF([Type], "Income",[])-sumif([Type], "Expense",[])</v>
      </c>
      <c r="Q38" t="str">
        <f t="shared" si="3"/>
        <v>=SUMIF([Type], "Income",[])-sumif([Type], "Expense",[])</v>
      </c>
      <c r="R38" t="str">
        <f t="shared" si="3"/>
        <v>=SUMIF([Type], "Income",[])-sumif([Type], "Expense",[])</v>
      </c>
      <c r="S38" t="str">
        <f t="shared" si="3"/>
        <v>=SUMIF([Type], "Income",[])-sumif([Type], "Expense",[])</v>
      </c>
      <c r="T38" t="str">
        <f t="shared" si="3"/>
        <v>=SUMIF([Type], "Income",[])-sumif([Type], "Expense",[])</v>
      </c>
      <c r="U38" t="str">
        <f t="shared" si="3"/>
        <v>=SUMIF([Type], "Income",[])-sumif([Type], "Expense",[])</v>
      </c>
      <c r="V38" t="str">
        <f t="shared" si="3"/>
        <v>=SUMIF([Type], "Income",[])-sumif([Type], "Expense",[])</v>
      </c>
      <c r="W38" t="str">
        <f t="shared" si="3"/>
        <v>=SUMIF([Type], "Income",[])-sumif([Type], "Expense",[])</v>
      </c>
      <c r="X38" t="str">
        <f t="shared" si="3"/>
        <v>=SUMIF([Type], "Income",[])-sumif([Type], "Expense",[])</v>
      </c>
      <c r="Y38" t="str">
        <f t="shared" si="3"/>
        <v>=SUMIF([Type], "Income",[])-sumif([Type], "Expense",[])</v>
      </c>
      <c r="Z38" t="str">
        <f t="shared" si="3"/>
        <v>=SUMIF([Type], "Income",[])-sumif([Type], "Expense",[])</v>
      </c>
      <c r="AA38" t="str">
        <f t="shared" si="3"/>
        <v>=SUMIF([Type], "Income",[])-sumif([Type], "Expense",[])</v>
      </c>
      <c r="AB38" t="str">
        <f t="shared" si="3"/>
        <v>=SUMIF([Type], "Income",[])-sumif([Type], "Expense",[])</v>
      </c>
      <c r="AC38" t="str">
        <f t="shared" si="3"/>
        <v>=SUMIF([Type], "Income",[])-sumif([Type], "Expense",[])</v>
      </c>
      <c r="AD38" t="str">
        <f t="shared" si="3"/>
        <v>=SUMIF([Type], "Income",[])-sumif([Type], "Expense",[])</v>
      </c>
      <c r="AE38" t="str">
        <f t="shared" si="3"/>
        <v>=SUMIF([Type], "Income",[])-sumif([Type], "Expense",[])</v>
      </c>
      <c r="AF38" t="str">
        <f t="shared" si="3"/>
        <v>=SUMIF([Type], "Income",[])-sumif([Type], "Expense",[])</v>
      </c>
      <c r="AG38" t="str">
        <f t="shared" si="3"/>
        <v>=SUMIF([Type], "Income",[])-sumif([Type], "Expense",[])</v>
      </c>
      <c r="AH38" t="str">
        <f t="shared" si="3"/>
        <v>=SUMIF([Type], "Income",[])-sumif([Type], "Expense",[])</v>
      </c>
      <c r="AI38" t="str">
        <f t="shared" si="3"/>
        <v>=SUMIF([Type], "Income",[])-sumif([Type], "Expense",[])</v>
      </c>
      <c r="AJ38" t="str">
        <f t="shared" si="3"/>
        <v>=SUMIF([Type], "Income",[])-sumif([Type], "Expense",[])</v>
      </c>
      <c r="AK38" t="str">
        <f t="shared" si="3"/>
        <v>=SUMIF([Type], "Income",[])-sumif([Type], "Expense",[])</v>
      </c>
      <c r="AL38" t="str">
        <f t="shared" si="3"/>
        <v>=SUMIF([Type], "Income",[])-sumif([Type], "Expense",[])</v>
      </c>
      <c r="AM38" t="str">
        <f t="shared" si="3"/>
        <v>=SUMIF([Type], "Income",[])-sumif([Type], "Expense",[])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Jeanre Transactional</vt:lpstr>
      <vt:lpstr>Bernice Transactional</vt:lpstr>
      <vt:lpstr>Bernice Credit Card</vt:lpstr>
      <vt:lpstr>Jeanre Credit Card </vt:lpstr>
      <vt:lpstr>Running Costs</vt:lpstr>
      <vt:lpstr>Home Loan</vt:lpstr>
      <vt:lpstr>Jodine U</vt:lpstr>
      <vt:lpstr>Emergency</vt:lpstr>
      <vt:lpstr>Personal Wealth</vt:lpstr>
      <vt:lpstr>Dec 2025 calcs</vt:lpstr>
      <vt:lpstr>Jeanre Credit Card-old</vt:lpstr>
      <vt:lpstr>Bernice Credit Card-old</vt:lpstr>
      <vt:lpstr>formula builders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2025-08-31T08:51:24Z</dcterms:modified>
</cp:coreProperties>
</file>