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y/GIT-Repos/ftrack/source files/"/>
    </mc:Choice>
  </mc:AlternateContent>
  <xr:revisionPtr revIDLastSave="0" documentId="13_ncr:1_{4E754399-86ED-1241-9810-352C479308CA}" xr6:coauthVersionLast="47" xr6:coauthVersionMax="47" xr10:uidLastSave="{00000000-0000-0000-0000-000000000000}"/>
  <bookViews>
    <workbookView xWindow="-68800" yWindow="-5900" windowWidth="34400" windowHeight="28300" activeTab="1" xr2:uid="{F25DD163-696E-F842-A897-5E899A2812A7}"/>
  </bookViews>
  <sheets>
    <sheet name="Jodine Transactional" sheetId="24" r:id="rId1"/>
    <sheet name="Jodine Cash" sheetId="28" r:id="rId2"/>
    <sheet name="Jodine Vehicle Savings" sheetId="31" r:id="rId3"/>
    <sheet name="Jodine Cash Savings" sheetId="32" r:id="rId4"/>
    <sheet name="Jodine Personal Savings" sheetId="2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24" l="1"/>
  <c r="J7" i="32"/>
  <c r="I7" i="32"/>
  <c r="H7" i="32"/>
  <c r="G7" i="32"/>
  <c r="F7" i="32"/>
  <c r="E7" i="32"/>
  <c r="D7" i="32"/>
  <c r="C7" i="32"/>
  <c r="J7" i="31"/>
  <c r="I7" i="31"/>
  <c r="H7" i="31"/>
  <c r="G7" i="31"/>
  <c r="F7" i="31"/>
  <c r="E7" i="31"/>
  <c r="D7" i="31"/>
  <c r="C7" i="31"/>
  <c r="J7" i="29"/>
  <c r="I7" i="29"/>
  <c r="H7" i="29"/>
  <c r="G7" i="29"/>
  <c r="F7" i="29"/>
  <c r="E7" i="29"/>
  <c r="D7" i="29"/>
  <c r="C7" i="29"/>
  <c r="J10" i="28"/>
  <c r="I10" i="28"/>
  <c r="H10" i="28"/>
  <c r="G10" i="28"/>
  <c r="F10" i="28"/>
  <c r="E10" i="28"/>
  <c r="D10" i="28"/>
  <c r="C10" i="28"/>
  <c r="J14" i="24"/>
  <c r="I14" i="24"/>
  <c r="H14" i="24"/>
  <c r="G14" i="24"/>
  <c r="F14" i="24"/>
  <c r="D14" i="24"/>
  <c r="C14" i="24"/>
</calcChain>
</file>

<file path=xl/sharedStrings.xml><?xml version="1.0" encoding="utf-8"?>
<sst xmlns="http://schemas.openxmlformats.org/spreadsheetml/2006/main" count="120" uniqueCount="35">
  <si>
    <t>Jeanre Transactional</t>
  </si>
  <si>
    <t>Vehicle Loan</t>
  </si>
  <si>
    <t>Vehicle Insurance</t>
  </si>
  <si>
    <t>Fuel</t>
  </si>
  <si>
    <t>Movement</t>
  </si>
  <si>
    <t>Jodine U</t>
  </si>
  <si>
    <t>Jodine Transactional</t>
  </si>
  <si>
    <t>Salary</t>
  </si>
  <si>
    <t>2024-05-01</t>
  </si>
  <si>
    <t>2024-06-01</t>
  </si>
  <si>
    <t>2024-08-01</t>
  </si>
  <si>
    <t>2024-07-01</t>
  </si>
  <si>
    <t>2024-09-01</t>
  </si>
  <si>
    <t>2024-10-01</t>
  </si>
  <si>
    <t>2024-11-01</t>
  </si>
  <si>
    <t>2024-12-01</t>
  </si>
  <si>
    <t>Account Secondary</t>
  </si>
  <si>
    <t>Credit</t>
  </si>
  <si>
    <t>Debit</t>
  </si>
  <si>
    <t>Subtotal</t>
  </si>
  <si>
    <t>Tips</t>
  </si>
  <si>
    <t>Jodine Personal Savings</t>
  </si>
  <si>
    <t>Vehicle Savings</t>
  </si>
  <si>
    <t>Suzuki Tires</t>
  </si>
  <si>
    <t>Suzuki Services</t>
  </si>
  <si>
    <t>Jodine Cash Savings</t>
  </si>
  <si>
    <t>Jodine Cash</t>
  </si>
  <si>
    <t>Vape</t>
  </si>
  <si>
    <t>Budget Retained Balance</t>
  </si>
  <si>
    <t>Eating Out</t>
  </si>
  <si>
    <t>Deneysville Visit</t>
  </si>
  <si>
    <t>Jeanre Cash</t>
  </si>
  <si>
    <t>x</t>
  </si>
  <si>
    <t>Medical Aid</t>
  </si>
  <si>
    <t>Retained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</si>
</sst>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R&quot;* #,##0.00_);_(&quot;R&quot;* \(#,##0.00\);_(&quot;R&quot;* &quot;-&quot;??_);_(@_)"/>
  </numFmts>
  <fonts count="11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6"/>
      <color theme="1"/>
      <name val="Aptos Narrow"/>
      <scheme val="minor"/>
    </font>
    <font>
      <sz val="16"/>
      <name val="Aptos Narrow"/>
      <scheme val="minor"/>
    </font>
    <font>
      <b/>
      <sz val="16"/>
      <name val="Aptos Narrow"/>
      <scheme val="minor"/>
    </font>
    <font>
      <sz val="16"/>
      <color theme="1"/>
      <name val="Aptos Narrow"/>
      <family val="2"/>
      <scheme val="minor"/>
    </font>
    <font>
      <sz val="16"/>
      <name val="Aptos Narrow"/>
      <family val="2"/>
      <scheme val="minor"/>
    </font>
    <font>
      <b/>
      <sz val="16"/>
      <color rgb="FF92D050"/>
      <name val="Aptos Narrow"/>
      <scheme val="minor"/>
    </font>
    <font>
      <b/>
      <sz val="16"/>
      <color rgb="FFFF0000"/>
      <name val="Aptos Narrow"/>
      <scheme val="minor"/>
    </font>
    <font>
      <b/>
      <sz val="16"/>
      <color rgb="FFFFFF0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0" fillId="2" borderId="0" xfId="0" applyFill="1"/>
    <xf numFmtId="0" fontId="0" fillId="3" borderId="0" xfId="0" applyFill="1"/>
    <xf numFmtId="0" fontId="1" fillId="0" borderId="2" xfId="0" applyFont="1" applyBorder="1"/>
    <xf numFmtId="0" fontId="0" fillId="3" borderId="0" xfId="0" quotePrefix="1" applyFill="1"/>
    <xf numFmtId="44" fontId="3" fillId="4" borderId="0" xfId="0" applyNumberFormat="1" applyFont="1" applyFill="1"/>
    <xf numFmtId="0" fontId="1" fillId="0" borderId="1" xfId="0" applyFont="1" applyBorder="1"/>
    <xf numFmtId="49" fontId="1" fillId="0" borderId="1" xfId="0" applyNumberFormat="1" applyFont="1" applyBorder="1"/>
    <xf numFmtId="44" fontId="5" fillId="2" borderId="0" xfId="0" applyNumberFormat="1" applyFont="1" applyFill="1"/>
    <xf numFmtId="0" fontId="6" fillId="4" borderId="0" xfId="0" applyFont="1" applyFill="1"/>
    <xf numFmtId="0" fontId="4" fillId="3" borderId="0" xfId="0" applyFont="1" applyFill="1"/>
    <xf numFmtId="44" fontId="5" fillId="3" borderId="0" xfId="0" applyNumberFormat="1" applyFont="1" applyFill="1"/>
    <xf numFmtId="0" fontId="7" fillId="3" borderId="0" xfId="0" applyFont="1" applyFill="1"/>
    <xf numFmtId="0" fontId="4" fillId="2" borderId="0" xfId="0" applyFont="1" applyFill="1"/>
    <xf numFmtId="0" fontId="7" fillId="2" borderId="0" xfId="0" applyFont="1" applyFill="1"/>
    <xf numFmtId="44" fontId="8" fillId="3" borderId="0" xfId="0" applyNumberFormat="1" applyFont="1" applyFill="1"/>
    <xf numFmtId="44" fontId="9" fillId="3" borderId="0" xfId="0" applyNumberFormat="1" applyFont="1" applyFill="1"/>
    <xf numFmtId="44" fontId="10" fillId="3" borderId="0" xfId="0" applyNumberFormat="1" applyFont="1" applyFill="1"/>
    <xf numFmtId="44" fontId="8" fillId="2" borderId="0" xfId="0" applyNumberFormat="1" applyFont="1" applyFill="1"/>
    <xf numFmtId="0" fontId="4" fillId="4" borderId="0" xfId="0" applyFont="1" applyFill="1"/>
    <xf numFmtId="44" fontId="5" fillId="4" borderId="0" xfId="0" applyNumberFormat="1" applyFont="1" applyFill="1"/>
    <xf numFmtId="0" fontId="7" fillId="4" borderId="0" xfId="0" applyFont="1" applyFill="1"/>
  </cellXfs>
  <cellStyles count="1">
    <cellStyle name="Normal" xfId="0" builtinId="0"/>
  </cellStyles>
  <dxfs count="110"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</dxf>
    <dxf>
      <font>
        <strike val="0"/>
        <outline val="0"/>
        <shadow val="0"/>
        <u val="none"/>
        <vertAlign val="baseline"/>
        <sz val="16"/>
        <color auto="1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none"/>
      </font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</dxf>
    <dxf>
      <font>
        <strike val="0"/>
        <outline val="0"/>
        <shadow val="0"/>
        <u val="none"/>
        <vertAlign val="baseline"/>
        <sz val="16"/>
        <color auto="1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none"/>
      </font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</dxf>
    <dxf>
      <font>
        <strike val="0"/>
        <outline val="0"/>
        <shadow val="0"/>
        <u val="none"/>
        <vertAlign val="baseline"/>
        <sz val="16"/>
        <color auto="1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none"/>
      </font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</dxf>
    <dxf>
      <font>
        <strike val="0"/>
        <outline val="0"/>
        <shadow val="0"/>
        <u val="none"/>
        <vertAlign val="baseline"/>
        <sz val="16"/>
        <color auto="1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none"/>
      </font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strike val="0"/>
        <outline val="0"/>
        <shadow val="0"/>
        <u val="none"/>
        <vertAlign val="baseline"/>
        <sz val="16"/>
        <color auto="1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86FC7B9-BD4A-294C-BAE6-F476073EB80A}" name="Table327" displayName="Table327" ref="A1:J14" totalsRowCount="1" headerRowDxfId="109" dataDxfId="108">
  <autoFilter ref="A1:J13" xr:uid="{92565AF6-51CB-F740-ACD0-AD376C5F8FE0}"/>
  <tableColumns count="10">
    <tableColumn id="5" xr3:uid="{6E69B458-4FF6-AA41-95BC-EDC678BC0093}" name="Movement" totalsRowLabel="Subtotal" dataDxfId="107" totalsRowDxfId="9"/>
    <tableColumn id="6" xr3:uid="{D47E3C5D-B818-7F4B-BFEC-DDA7481F4587}" name="Account Secondary" totalsRowLabel="Jodine Transactional" dataDxfId="106" totalsRowDxfId="8"/>
    <tableColumn id="7" xr3:uid="{A673DCA8-3181-2B48-A287-B7DC290508A8}" name="2024-05-01" totalsRowFunction="custom" dataDxfId="105" totalsRowDxfId="7">
      <totalsRowFormula>SUMIF(Table327[[#Data],[#Totals],[Movement]],"Credit", Table327[[#Data],[#Totals],[2024-05-01]])-SUMIF(Table327[[#Data],[#Totals],[Movement]],"Debit", Table327[[#Data],[#Totals],[2024-05-01]])</totalsRowFormula>
    </tableColumn>
    <tableColumn id="8" xr3:uid="{B6E7D547-5D0E-6D41-8F04-8C1F455CCAC3}" name="2024-06-01" totalsRowFunction="custom" dataDxfId="104" totalsRowDxfId="6">
      <totalsRowFormula>SUMIF(Table327[[#Data],[#Totals],[Movement]],"Credit", Table327[[#Data],[#Totals],[2024-06-01]])-SUMIF(Table327[[#Data],[#Totals],[Movement]],"Debit", Table327[[#Data],[#Totals],[2024-06-01]])</totalsRowFormula>
    </tableColumn>
    <tableColumn id="9" xr3:uid="{EED6F578-2107-254B-B19B-3613DFC61464}" name="2024-07-01" totalsRowFunction="custom" dataDxfId="103" totalsRowDxfId="5">
      <totalsRowFormula>SUMIF(Table327[[#Data],[#Totals],[Movement]],"Credit", Table327[[#Data],[#Totals],[2024-07-01]])-SUMIF(Table327[[#Data],[#Totals],[Movement]],"Debit", Table327[[#Data],[#Totals],[2024-07-01]])</totalsRowFormula>
    </tableColumn>
    <tableColumn id="10" xr3:uid="{C2FA8C69-9A64-764E-B91D-232CF4696276}" name="2024-08-01" totalsRowFunction="custom" dataDxfId="102" totalsRowDxfId="4">
      <totalsRowFormula>SUMIF(Table327[[#Data],[#Totals],[Movement]],"Credit", Table327[[#Data],[#Totals],[2024-08-01]])-SUMIF(Table327[[#Data],[#Totals],[Movement]],"Debit", Table327[[#Data],[#Totals],[2024-08-01]])</totalsRowFormula>
    </tableColumn>
    <tableColumn id="11" xr3:uid="{DA8F87DE-6FA5-C542-A1E2-C65545DB76F6}" name="2024-09-01" totalsRowFunction="custom" dataDxfId="101" totalsRowDxfId="3">
      <totalsRowFormula>SUMIF(Table327[[#Data],[#Totals],[Movement]],"Credit", Table327[[#Data],[#Totals],[2024-09-01]])-SUMIF(Table327[[#Data],[#Totals],[Movement]],"Debit", Table327[[#Data],[#Totals],[2024-09-01]])</totalsRowFormula>
    </tableColumn>
    <tableColumn id="12" xr3:uid="{2744F012-CFCA-FC43-8A49-88A121FA14CE}" name="2024-10-01" totalsRowFunction="custom" dataDxfId="100" totalsRowDxfId="2">
      <totalsRowFormula>SUMIF(Table327[[#Data],[#Totals],[Movement]],"Credit", Table327[[#Data],[#Totals],[2024-10-01]])-SUMIF(Table327[[#Data],[#Totals],[Movement]],"Debit", Table327[[#Data],[#Totals],[2024-10-01]])</totalsRowFormula>
    </tableColumn>
    <tableColumn id="13" xr3:uid="{39FF230A-B9E3-3242-ABFB-EB1A480E6CB3}" name="2024-11-01" totalsRowFunction="custom" dataDxfId="99" totalsRowDxfId="1">
      <totalsRowFormula>SUMIF(Table327[[#Data],[#Totals],[Movement]],"Credit", Table327[[#Data],[#Totals],[2024-11-01]])-SUMIF(Table327[[#Data],[#Totals],[Movement]],"Debit", Table327[[#Data],[#Totals],[2024-11-01]])</totalsRowFormula>
    </tableColumn>
    <tableColumn id="14" xr3:uid="{A7BFC294-B1BF-E445-BCCD-9C9D1112238B}" name="2024-12-01" totalsRowFunction="custom" dataDxfId="98" totalsRowDxfId="0">
      <totalsRowFormula>SUMIF(Table327[[#Data],[#Totals],[Movement]],"Credit", Table327[[#Data],[#Totals],[2024-12-01]])-SUMIF(Table327[[#Data],[#Totals],[Movement]],"Debit", Table327[[#Data],[#Totals],[2024-12-01]])</totalsRow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90EBEC-BC3C-1C40-96B2-E46AB39370B3}" name="Table3272" displayName="Table3272" ref="A1:J10" totalsRowCount="1" headerRowDxfId="97" dataDxfId="96">
  <autoFilter ref="A1:J9" xr:uid="{92565AF6-51CB-F740-ACD0-AD376C5F8FE0}"/>
  <tableColumns count="10">
    <tableColumn id="5" xr3:uid="{993C14E6-60A9-304A-B4C5-4EBE63033800}" name="Movement" totalsRowLabel="Subtotal" dataDxfId="95" totalsRowDxfId="94"/>
    <tableColumn id="6" xr3:uid="{A26BC0DA-C92B-4A4A-A60D-1569A7633DC1}" name="Account Secondary" totalsRowLabel="Jodine Transactional" dataDxfId="93" totalsRowDxfId="92"/>
    <tableColumn id="7" xr3:uid="{4F117689-22E9-4348-A949-D0CA5A13E6B8}" name="2024-05-01" totalsRowFunction="custom" dataDxfId="91" totalsRowDxfId="90">
      <totalsRowFormula>SUMIF(Table3272[[#Data],[#Totals],[Movement]],"Credit", Table3272[[#Data],[#Totals],[2024-05-01]])-SUMIF(Table3272[[#Data],[#Totals],[Movement]],"Debit", Table3272[[#Data],[#Totals],[2024-05-01]])</totalsRowFormula>
    </tableColumn>
    <tableColumn id="8" xr3:uid="{4AB7B9EE-431B-8049-81FD-82162F8DB972}" name="2024-06-01" totalsRowFunction="custom" dataDxfId="89" totalsRowDxfId="88">
      <totalsRowFormula>SUMIF(Table3272[[#Data],[#Totals],[Movement]],"Credit", Table3272[[#Data],[#Totals],[2024-06-01]])-SUMIF(Table3272[[#Data],[#Totals],[Movement]],"Debit", Table3272[[#Data],[#Totals],[2024-06-01]])</totalsRowFormula>
    </tableColumn>
    <tableColumn id="9" xr3:uid="{B32522A4-6DB5-0E4B-AEFD-93338290CAD0}" name="2024-07-01" totalsRowFunction="custom" dataDxfId="87" totalsRowDxfId="86">
      <totalsRowFormula>SUMIF(Table3272[[#Data],[#Totals],[Movement]],"Credit", Table3272[[#Data],[#Totals],[2024-07-01]])-SUMIF(Table3272[[#Data],[#Totals],[Movement]],"Debit", Table3272[[#Data],[#Totals],[2024-07-01]])</totalsRowFormula>
    </tableColumn>
    <tableColumn id="10" xr3:uid="{4358556B-6A9D-C34C-AEC4-7B51DDFC4B99}" name="2024-08-01" totalsRowFunction="custom" dataDxfId="85" totalsRowDxfId="84">
      <totalsRowFormula>SUMIF(Table3272[[#Data],[#Totals],[Movement]],"Credit", Table3272[[#Data],[#Totals],[2024-08-01]])-SUMIF(Table3272[[#Data],[#Totals],[Movement]],"Debit", Table3272[[#Data],[#Totals],[2024-08-01]])</totalsRowFormula>
    </tableColumn>
    <tableColumn id="11" xr3:uid="{CCFB5DBA-38C3-8748-9ACD-1EE14567004A}" name="2024-09-01" totalsRowFunction="custom" dataDxfId="83" totalsRowDxfId="82">
      <totalsRowFormula>SUMIF(Table3272[[#Data],[#Totals],[Movement]],"Credit", Table3272[[#Data],[#Totals],[2024-09-01]])-SUMIF(Table3272[[#Data],[#Totals],[Movement]],"Debit", Table3272[[#Data],[#Totals],[2024-09-01]])</totalsRowFormula>
    </tableColumn>
    <tableColumn id="12" xr3:uid="{178F76AC-AAC4-7A47-BD0E-1401FA1AF282}" name="2024-10-01" totalsRowFunction="custom" dataDxfId="81" totalsRowDxfId="80">
      <totalsRowFormula>SUMIF(Table3272[[#Data],[#Totals],[Movement]],"Credit", Table3272[[#Data],[#Totals],[2024-10-01]])-SUMIF(Table3272[[#Data],[#Totals],[Movement]],"Debit", Table3272[[#Data],[#Totals],[2024-10-01]])</totalsRowFormula>
    </tableColumn>
    <tableColumn id="13" xr3:uid="{ED017992-70BF-EA49-8E05-DA8019163116}" name="2024-11-01" totalsRowFunction="custom" dataDxfId="79" totalsRowDxfId="78">
      <totalsRowFormula>SUMIF(Table3272[[#Data],[#Totals],[Movement]],"Credit", Table3272[[#Data],[#Totals],[2024-11-01]])-SUMIF(Table3272[[#Data],[#Totals],[Movement]],"Debit", Table3272[[#Data],[#Totals],[2024-11-01]])</totalsRowFormula>
    </tableColumn>
    <tableColumn id="14" xr3:uid="{5FA47C52-891F-5944-B6FE-936D38AF316E}" name="2024-12-01" totalsRowFunction="custom" dataDxfId="77" totalsRowDxfId="76">
      <totalsRowFormula>SUMIF(Table3272[[#Data],[#Totals],[Movement]],"Credit", Table3272[[#Data],[#Totals],[2024-12-01]])-SUMIF(Table3272[[#Data],[#Totals],[Movement]],"Debit", Table3272[[#Data],[#Totals],[2024-12-01]])</totalsRow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769C827-0130-1747-96C4-5826BE98F631}" name="Table32734" displayName="Table32734" ref="A1:J7" totalsRowCount="1" headerRowDxfId="75" dataDxfId="74">
  <autoFilter ref="A1:J6" xr:uid="{92565AF6-51CB-F740-ACD0-AD376C5F8FE0}"/>
  <tableColumns count="10">
    <tableColumn id="5" xr3:uid="{DDD8365D-8383-6844-816A-E3D90FE51FF3}" name="Movement" totalsRowLabel="Subtotal" dataDxfId="73" totalsRowDxfId="72"/>
    <tableColumn id="6" xr3:uid="{49EDA6C9-9EFA-064E-BCFD-0B004133E7E9}" name="Account Secondary" totalsRowLabel="Jodine Transactional" dataDxfId="71" totalsRowDxfId="70"/>
    <tableColumn id="7" xr3:uid="{794F9947-7CDA-8F48-9548-050143889B9E}" name="2024-05-01" totalsRowFunction="custom" dataDxfId="69" totalsRowDxfId="68">
      <totalsRowFormula>SUMIF(Table32734[[#Data],[#Totals],[Movement]],"Credit", Table32734[[#Data],[#Totals],[2024-05-01]])-SUMIF(Table32734[[#Data],[#Totals],[Movement]],"Debit", Table32734[[#Data],[#Totals],[2024-05-01]])</totalsRowFormula>
    </tableColumn>
    <tableColumn id="8" xr3:uid="{BBC37A2A-3998-0E42-AFC9-7E88888B1086}" name="2024-06-01" totalsRowFunction="custom" dataDxfId="67" totalsRowDxfId="66">
      <totalsRowFormula>SUMIF(Table32734[[#Data],[#Totals],[Movement]],"Credit", Table32734[[#Data],[#Totals],[2024-06-01]])-SUMIF(Table32734[[#Data],[#Totals],[Movement]],"Debit", Table32734[[#Data],[#Totals],[2024-06-01]])</totalsRowFormula>
    </tableColumn>
    <tableColumn id="9" xr3:uid="{590C4F00-8EE6-4E46-8DBD-8891F91619E2}" name="2024-07-01" totalsRowFunction="custom" dataDxfId="65" totalsRowDxfId="64">
      <totalsRowFormula>SUMIF(Table32734[[#Data],[#Totals],[Movement]],"Credit", Table32734[[#Data],[#Totals],[2024-07-01]])-SUMIF(Table32734[[#Data],[#Totals],[Movement]],"Debit", Table32734[[#Data],[#Totals],[2024-07-01]])</totalsRowFormula>
    </tableColumn>
    <tableColumn id="10" xr3:uid="{EFDE75B0-B5DE-F042-BDF0-CD7806088589}" name="2024-08-01" totalsRowFunction="custom" dataDxfId="63" totalsRowDxfId="62">
      <totalsRowFormula>SUMIF(Table32734[[#Data],[#Totals],[Movement]],"Credit", Table32734[[#Data],[#Totals],[2024-08-01]])-SUMIF(Table32734[[#Data],[#Totals],[Movement]],"Debit", Table32734[[#Data],[#Totals],[2024-08-01]])</totalsRowFormula>
    </tableColumn>
    <tableColumn id="11" xr3:uid="{5C0BE389-226B-9249-A46A-3169D70B574F}" name="2024-09-01" totalsRowFunction="custom" dataDxfId="61" totalsRowDxfId="60">
      <totalsRowFormula>SUMIF(Table32734[[#Data],[#Totals],[Movement]],"Credit", Table32734[[#Data],[#Totals],[2024-09-01]])-SUMIF(Table32734[[#Data],[#Totals],[Movement]],"Debit", Table32734[[#Data],[#Totals],[2024-09-01]])</totalsRowFormula>
    </tableColumn>
    <tableColumn id="12" xr3:uid="{5DD17303-0F01-294F-9090-E0906189E7DD}" name="2024-10-01" totalsRowFunction="custom" dataDxfId="59" totalsRowDxfId="58">
      <totalsRowFormula>SUMIF(Table32734[[#Data],[#Totals],[Movement]],"Credit", Table32734[[#Data],[#Totals],[2024-10-01]])-SUMIF(Table32734[[#Data],[#Totals],[Movement]],"Debit", Table32734[[#Data],[#Totals],[2024-10-01]])</totalsRowFormula>
    </tableColumn>
    <tableColumn id="13" xr3:uid="{C691585D-36D3-2C4B-A6D6-4954F2F03EE0}" name="2024-11-01" totalsRowFunction="custom" dataDxfId="57" totalsRowDxfId="56">
      <totalsRowFormula>SUMIF(Table32734[[#Data],[#Totals],[Movement]],"Credit", Table32734[[#Data],[#Totals],[2024-11-01]])-SUMIF(Table32734[[#Data],[#Totals],[Movement]],"Debit", Table32734[[#Data],[#Totals],[2024-11-01]])</totalsRowFormula>
    </tableColumn>
    <tableColumn id="14" xr3:uid="{6D41FA26-D619-B14C-8202-960D4BC62D57}" name="2024-12-01" totalsRowFunction="custom" dataDxfId="55" totalsRowDxfId="54">
      <totalsRowFormula>SUMIF(Table32734[[#Data],[#Totals],[Movement]],"Credit", Table32734[[#Data],[#Totals],[2024-12-01]])-SUMIF(Table32734[[#Data],[#Totals],[Movement]],"Debit", Table32734[[#Data],[#Totals],[2024-12-01]])</totalsRow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1F6A830-124F-664D-80AC-384CD45DDB8A}" name="Table32735" displayName="Table32735" ref="A1:J7" totalsRowCount="1" headerRowDxfId="53" dataDxfId="52">
  <autoFilter ref="A1:J6" xr:uid="{92565AF6-51CB-F740-ACD0-AD376C5F8FE0}"/>
  <tableColumns count="10">
    <tableColumn id="5" xr3:uid="{00DCC526-494A-164C-B8A7-62D8857AA2CC}" name="Movement" totalsRowLabel="Subtotal" dataDxfId="51" totalsRowDxfId="50"/>
    <tableColumn id="6" xr3:uid="{42900B87-D476-1F4B-B152-C6862D6AD49C}" name="Account Secondary" totalsRowLabel="Jodine Transactional" dataDxfId="49" totalsRowDxfId="48"/>
    <tableColumn id="7" xr3:uid="{1F324CCC-3D9B-9D43-B1B9-78BC52CEBC4B}" name="2024-05-01" totalsRowFunction="custom" dataDxfId="47" totalsRowDxfId="46">
      <totalsRowFormula>SUMIF(Table32735[[#Data],[#Totals],[Movement]],"Credit", Table32735[[#Data],[#Totals],[2024-05-01]])-SUMIF(Table32735[[#Data],[#Totals],[Movement]],"Debit", Table32735[[#Data],[#Totals],[2024-05-01]])</totalsRowFormula>
    </tableColumn>
    <tableColumn id="8" xr3:uid="{8D6A0706-954B-6E49-8325-8C5F6C7D0A27}" name="2024-06-01" totalsRowFunction="custom" dataDxfId="45" totalsRowDxfId="44">
      <totalsRowFormula>SUMIF(Table32735[[#Data],[#Totals],[Movement]],"Credit", Table32735[[#Data],[#Totals],[2024-06-01]])-SUMIF(Table32735[[#Data],[#Totals],[Movement]],"Debit", Table32735[[#Data],[#Totals],[2024-06-01]])</totalsRowFormula>
    </tableColumn>
    <tableColumn id="9" xr3:uid="{552E7801-D825-E74E-B810-D41F151C53C4}" name="2024-07-01" totalsRowFunction="custom" dataDxfId="43" totalsRowDxfId="42">
      <totalsRowFormula>SUMIF(Table32735[[#Data],[#Totals],[Movement]],"Credit", Table32735[[#Data],[#Totals],[2024-07-01]])-SUMIF(Table32735[[#Data],[#Totals],[Movement]],"Debit", Table32735[[#Data],[#Totals],[2024-07-01]])</totalsRowFormula>
    </tableColumn>
    <tableColumn id="10" xr3:uid="{EC5D0AC7-F33A-904A-8CE5-1901BED12A99}" name="2024-08-01" totalsRowFunction="custom" dataDxfId="41" totalsRowDxfId="40">
      <totalsRowFormula>SUMIF(Table32735[[#Data],[#Totals],[Movement]],"Credit", Table32735[[#Data],[#Totals],[2024-08-01]])-SUMIF(Table32735[[#Data],[#Totals],[Movement]],"Debit", Table32735[[#Data],[#Totals],[2024-08-01]])</totalsRowFormula>
    </tableColumn>
    <tableColumn id="11" xr3:uid="{370C335F-82B5-0146-9468-C1048CC4BFF6}" name="2024-09-01" totalsRowFunction="custom" dataDxfId="39" totalsRowDxfId="38">
      <totalsRowFormula>SUMIF(Table32735[[#Data],[#Totals],[Movement]],"Credit", Table32735[[#Data],[#Totals],[2024-09-01]])-SUMIF(Table32735[[#Data],[#Totals],[Movement]],"Debit", Table32735[[#Data],[#Totals],[2024-09-01]])</totalsRowFormula>
    </tableColumn>
    <tableColumn id="12" xr3:uid="{91C0D700-3C78-6948-82AE-1144571FA9E0}" name="2024-10-01" totalsRowFunction="custom" dataDxfId="37" totalsRowDxfId="36">
      <totalsRowFormula>SUMIF(Table32735[[#Data],[#Totals],[Movement]],"Credit", Table32735[[#Data],[#Totals],[2024-10-01]])-SUMIF(Table32735[[#Data],[#Totals],[Movement]],"Debit", Table32735[[#Data],[#Totals],[2024-10-01]])</totalsRowFormula>
    </tableColumn>
    <tableColumn id="13" xr3:uid="{C6B68C6F-1DB2-BB4C-9DAD-9295D430E9DF}" name="2024-11-01" totalsRowFunction="custom" dataDxfId="35" totalsRowDxfId="34">
      <totalsRowFormula>SUMIF(Table32735[[#Data],[#Totals],[Movement]],"Credit", Table32735[[#Data],[#Totals],[2024-11-01]])-SUMIF(Table32735[[#Data],[#Totals],[Movement]],"Debit", Table32735[[#Data],[#Totals],[2024-11-01]])</totalsRowFormula>
    </tableColumn>
    <tableColumn id="14" xr3:uid="{60DA4338-14AB-C441-9F28-1FB5E923B19F}" name="2024-12-01" totalsRowFunction="custom" dataDxfId="33" totalsRowDxfId="32">
      <totalsRowFormula>SUMIF(Table32735[[#Data],[#Totals],[Movement]],"Credit", Table32735[[#Data],[#Totals],[2024-12-01]])-SUMIF(Table32735[[#Data],[#Totals],[Movement]],"Debit", Table32735[[#Data],[#Totals],[2024-12-01]])</totalsRow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B86926-7BCD-FD49-A0A1-983772013C0E}" name="Table3273" displayName="Table3273" ref="A1:J7" totalsRowCount="1" headerRowDxfId="31" dataDxfId="30">
  <autoFilter ref="A1:J6" xr:uid="{92565AF6-51CB-F740-ACD0-AD376C5F8FE0}"/>
  <tableColumns count="10">
    <tableColumn id="5" xr3:uid="{7346A9FB-3ABE-1146-9BF2-50051BE3571E}" name="Movement" totalsRowLabel="Subtotal" dataDxfId="29" totalsRowDxfId="28"/>
    <tableColumn id="6" xr3:uid="{1A60C668-203A-4643-807D-56767BE2713B}" name="Account Secondary" totalsRowLabel="Jodine Transactional" dataDxfId="27" totalsRowDxfId="26"/>
    <tableColumn id="7" xr3:uid="{56406242-F73E-D545-871D-CA3D07095EBD}" name="2024-05-01" totalsRowFunction="custom" dataDxfId="25" totalsRowDxfId="24">
      <totalsRowFormula>SUMIF(Table3273[[#Data],[#Totals],[Movement]],"Credit", Table3273[[#Data],[#Totals],[2024-05-01]])-SUMIF(Table3273[[#Data],[#Totals],[Movement]],"Debit", Table3273[[#Data],[#Totals],[2024-05-01]])</totalsRowFormula>
    </tableColumn>
    <tableColumn id="8" xr3:uid="{CEC7C146-DE72-5B45-BB3F-BB9A2B54A98C}" name="2024-06-01" totalsRowFunction="custom" dataDxfId="23" totalsRowDxfId="22">
      <totalsRowFormula>SUMIF(Table3273[[#Data],[#Totals],[Movement]],"Credit", Table3273[[#Data],[#Totals],[2024-06-01]])-SUMIF(Table3273[[#Data],[#Totals],[Movement]],"Debit", Table3273[[#Data],[#Totals],[2024-06-01]])</totalsRowFormula>
    </tableColumn>
    <tableColumn id="9" xr3:uid="{9FF66E52-7592-8E4A-B720-8102A5B2D81C}" name="2024-07-01" totalsRowFunction="custom" dataDxfId="21" totalsRowDxfId="20">
      <totalsRowFormula>SUMIF(Table3273[[#Data],[#Totals],[Movement]],"Credit", Table3273[[#Data],[#Totals],[2024-07-01]])-SUMIF(Table3273[[#Data],[#Totals],[Movement]],"Debit", Table3273[[#Data],[#Totals],[2024-07-01]])</totalsRowFormula>
    </tableColumn>
    <tableColumn id="10" xr3:uid="{D9579B17-E722-A54E-86CC-AFD0152C185D}" name="2024-08-01" totalsRowFunction="custom" dataDxfId="19" totalsRowDxfId="18">
      <totalsRowFormula>SUMIF(Table3273[[#Data],[#Totals],[Movement]],"Credit", Table3273[[#Data],[#Totals],[2024-08-01]])-SUMIF(Table3273[[#Data],[#Totals],[Movement]],"Debit", Table3273[[#Data],[#Totals],[2024-08-01]])</totalsRowFormula>
    </tableColumn>
    <tableColumn id="11" xr3:uid="{A73CE191-7B1E-734D-B011-77179583A1F9}" name="2024-09-01" totalsRowFunction="custom" dataDxfId="17" totalsRowDxfId="16">
      <totalsRowFormula>SUMIF(Table3273[[#Data],[#Totals],[Movement]],"Credit", Table3273[[#Data],[#Totals],[2024-09-01]])-SUMIF(Table3273[[#Data],[#Totals],[Movement]],"Debit", Table3273[[#Data],[#Totals],[2024-09-01]])</totalsRowFormula>
    </tableColumn>
    <tableColumn id="12" xr3:uid="{B7E21B7B-8BBD-A44B-A73A-0144E4A44CF0}" name="2024-10-01" totalsRowFunction="custom" dataDxfId="15" totalsRowDxfId="14">
      <totalsRowFormula>SUMIF(Table3273[[#Data],[#Totals],[Movement]],"Credit", Table3273[[#Data],[#Totals],[2024-10-01]])-SUMIF(Table3273[[#Data],[#Totals],[Movement]],"Debit", Table3273[[#Data],[#Totals],[2024-10-01]])</totalsRowFormula>
    </tableColumn>
    <tableColumn id="13" xr3:uid="{2672CBFB-B3FC-164D-BC7A-B1132CD53672}" name="2024-11-01" totalsRowFunction="custom" dataDxfId="13" totalsRowDxfId="12">
      <totalsRowFormula>SUMIF(Table3273[[#Data],[#Totals],[Movement]],"Credit", Table3273[[#Data],[#Totals],[2024-11-01]])-SUMIF(Table3273[[#Data],[#Totals],[Movement]],"Debit", Table3273[[#Data],[#Totals],[2024-11-01]])</totalsRowFormula>
    </tableColumn>
    <tableColumn id="14" xr3:uid="{791CE36E-FC3D-404E-857A-3A885BEAD9F9}" name="2024-12-01" totalsRowFunction="custom" dataDxfId="11" totalsRowDxfId="10">
      <totalsRowFormula>SUMIF(Table3273[[#Data],[#Totals],[Movement]],"Credit", Table3273[[#Data],[#Totals],[2024-12-01]])-SUMIF(Table3273[[#Data],[#Totals],[Movement]],"Debit", Table3273[[#Data],[#Totals],[2024-12-01]])</totalsRow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5248B-6FB7-9840-B24A-F55E5AA459E3}">
  <dimension ref="A1:K14"/>
  <sheetViews>
    <sheetView showGridLines="0" workbookViewId="0">
      <selection activeCell="I11" sqref="I11"/>
    </sheetView>
  </sheetViews>
  <sheetFormatPr baseColWidth="10" defaultRowHeight="16" x14ac:dyDescent="0.2"/>
  <cols>
    <col min="2" max="2" width="27.6640625" customWidth="1"/>
    <col min="3" max="3" width="20" hidden="1" customWidth="1"/>
    <col min="4" max="5" width="15.1640625" style="1" hidden="1" customWidth="1"/>
    <col min="6" max="7" width="15.1640625" hidden="1" customWidth="1"/>
    <col min="8" max="11" width="15.1640625" bestFit="1" customWidth="1"/>
  </cols>
  <sheetData>
    <row r="1" spans="1:11" ht="17" thickBot="1" x14ac:dyDescent="0.25">
      <c r="A1" s="4" t="s">
        <v>4</v>
      </c>
      <c r="B1" s="7" t="s">
        <v>16</v>
      </c>
      <c r="C1" s="8" t="s">
        <v>8</v>
      </c>
      <c r="D1" s="8" t="s">
        <v>9</v>
      </c>
      <c r="E1" s="8" t="s">
        <v>11</v>
      </c>
      <c r="F1" s="8" t="s">
        <v>10</v>
      </c>
      <c r="G1" s="8" t="s">
        <v>12</v>
      </c>
      <c r="H1" s="8" t="s">
        <v>13</v>
      </c>
      <c r="I1" s="8" t="s">
        <v>14</v>
      </c>
      <c r="J1" s="8" t="s">
        <v>15</v>
      </c>
    </row>
    <row r="2" spans="1:11" s="2" customFormat="1" ht="22" x14ac:dyDescent="0.3">
      <c r="A2" s="14" t="s">
        <v>17</v>
      </c>
      <c r="B2" s="14" t="s">
        <v>7</v>
      </c>
      <c r="C2" s="9">
        <v>0</v>
      </c>
      <c r="D2" s="9"/>
      <c r="E2" s="9">
        <v>2500</v>
      </c>
      <c r="F2" s="9">
        <v>2000</v>
      </c>
      <c r="G2" s="9">
        <v>1000</v>
      </c>
      <c r="H2" s="9">
        <v>1000</v>
      </c>
      <c r="I2" s="9">
        <v>1000</v>
      </c>
      <c r="J2" s="9">
        <v>2000</v>
      </c>
    </row>
    <row r="3" spans="1:11" s="2" customFormat="1" ht="22" x14ac:dyDescent="0.3">
      <c r="A3" s="22" t="s">
        <v>17</v>
      </c>
      <c r="B3" s="22" t="s">
        <v>34</v>
      </c>
      <c r="C3" s="21"/>
      <c r="D3" s="21"/>
      <c r="E3" s="21"/>
      <c r="F3" s="21"/>
      <c r="G3" s="21"/>
      <c r="H3" s="21"/>
      <c r="I3" s="21"/>
      <c r="J3" s="21"/>
    </row>
    <row r="4" spans="1:11" s="2" customFormat="1" ht="22" x14ac:dyDescent="0.3">
      <c r="A4" s="22" t="s">
        <v>17</v>
      </c>
      <c r="B4" s="20"/>
      <c r="C4" s="21"/>
      <c r="D4" s="21"/>
      <c r="E4" s="21"/>
      <c r="F4" s="21"/>
      <c r="G4" s="21"/>
      <c r="H4" s="21"/>
      <c r="I4" s="21"/>
      <c r="J4" s="21"/>
    </row>
    <row r="5" spans="1:11" s="3" customFormat="1" ht="22" x14ac:dyDescent="0.3">
      <c r="A5" s="11" t="s">
        <v>18</v>
      </c>
      <c r="B5" s="11" t="s">
        <v>3</v>
      </c>
      <c r="C5" s="12">
        <v>0</v>
      </c>
      <c r="D5" s="12"/>
      <c r="E5" s="12"/>
      <c r="F5" s="12"/>
      <c r="G5" s="12"/>
      <c r="H5" s="12"/>
      <c r="I5" s="12"/>
      <c r="J5" s="12"/>
      <c r="K5" s="5"/>
    </row>
    <row r="6" spans="1:11" s="3" customFormat="1" ht="22" x14ac:dyDescent="0.3">
      <c r="A6" s="11" t="s">
        <v>18</v>
      </c>
      <c r="B6" s="11" t="s">
        <v>21</v>
      </c>
      <c r="C6" s="12">
        <v>0</v>
      </c>
      <c r="D6" s="12"/>
      <c r="E6" s="12">
        <v>500</v>
      </c>
      <c r="F6" s="16">
        <v>250</v>
      </c>
      <c r="G6" s="12"/>
      <c r="H6" s="12"/>
      <c r="I6" s="12">
        <v>250</v>
      </c>
      <c r="J6" s="12">
        <v>250</v>
      </c>
    </row>
    <row r="7" spans="1:11" s="3" customFormat="1" ht="22" x14ac:dyDescent="0.3">
      <c r="A7" s="11" t="s">
        <v>18</v>
      </c>
      <c r="B7" s="13" t="s">
        <v>5</v>
      </c>
      <c r="C7" s="12">
        <v>0</v>
      </c>
      <c r="D7" s="12"/>
      <c r="E7" s="12">
        <v>750</v>
      </c>
      <c r="F7" s="16">
        <v>250</v>
      </c>
      <c r="G7" s="12">
        <v>250</v>
      </c>
      <c r="H7" s="12">
        <v>1000</v>
      </c>
      <c r="I7" s="12">
        <v>250</v>
      </c>
      <c r="J7" s="12">
        <v>250</v>
      </c>
    </row>
    <row r="8" spans="1:11" s="3" customFormat="1" ht="22" x14ac:dyDescent="0.3">
      <c r="A8" s="11" t="s">
        <v>18</v>
      </c>
      <c r="B8" s="13" t="s">
        <v>22</v>
      </c>
      <c r="C8" s="12">
        <v>0</v>
      </c>
      <c r="D8" s="12"/>
      <c r="E8" s="12">
        <v>250</v>
      </c>
      <c r="F8" s="16">
        <v>250</v>
      </c>
      <c r="G8" s="12">
        <v>250</v>
      </c>
      <c r="H8" s="12"/>
      <c r="I8" s="12">
        <v>250</v>
      </c>
      <c r="J8" s="12">
        <v>250</v>
      </c>
    </row>
    <row r="9" spans="1:11" s="3" customFormat="1" ht="22" x14ac:dyDescent="0.3">
      <c r="A9" s="13" t="s">
        <v>18</v>
      </c>
      <c r="B9" s="13" t="s">
        <v>27</v>
      </c>
      <c r="C9" s="12"/>
      <c r="D9" s="12"/>
      <c r="E9" s="12"/>
      <c r="F9" s="12"/>
      <c r="G9" s="12"/>
      <c r="H9" s="12"/>
      <c r="I9" s="12"/>
      <c r="J9" s="12"/>
    </row>
    <row r="10" spans="1:11" s="3" customFormat="1" ht="22" x14ac:dyDescent="0.3">
      <c r="A10" s="13" t="s">
        <v>18</v>
      </c>
      <c r="B10" s="13" t="s">
        <v>33</v>
      </c>
      <c r="C10" s="12"/>
      <c r="D10" s="12"/>
      <c r="E10" s="12">
        <v>500</v>
      </c>
      <c r="F10" s="16">
        <v>500</v>
      </c>
      <c r="G10" s="12">
        <v>500</v>
      </c>
      <c r="H10" s="12"/>
      <c r="I10" s="12"/>
      <c r="J10" s="12">
        <v>500</v>
      </c>
    </row>
    <row r="11" spans="1:11" s="3" customFormat="1" ht="22" x14ac:dyDescent="0.3">
      <c r="A11" s="11" t="s">
        <v>18</v>
      </c>
      <c r="B11" s="13" t="s">
        <v>0</v>
      </c>
      <c r="C11" s="12">
        <v>0</v>
      </c>
      <c r="D11" s="12"/>
      <c r="E11" s="12">
        <v>500</v>
      </c>
      <c r="F11" s="16">
        <v>750</v>
      </c>
      <c r="G11" s="12">
        <v>0</v>
      </c>
      <c r="H11" s="12"/>
      <c r="I11" s="12">
        <v>250</v>
      </c>
      <c r="J11" s="12">
        <v>750</v>
      </c>
    </row>
    <row r="12" spans="1:11" s="3" customFormat="1" ht="22" x14ac:dyDescent="0.3">
      <c r="A12" s="11" t="s">
        <v>18</v>
      </c>
      <c r="B12" s="13" t="s">
        <v>1</v>
      </c>
      <c r="C12" s="12">
        <v>0</v>
      </c>
      <c r="D12" s="12"/>
      <c r="E12" s="12"/>
      <c r="F12" s="12"/>
      <c r="G12" s="12"/>
      <c r="H12" s="12"/>
      <c r="I12" s="12"/>
      <c r="J12" s="12"/>
    </row>
    <row r="13" spans="1:11" s="3" customFormat="1" ht="22" x14ac:dyDescent="0.3">
      <c r="A13" s="11" t="s">
        <v>18</v>
      </c>
      <c r="B13" s="13" t="s">
        <v>2</v>
      </c>
      <c r="C13" s="12">
        <v>0</v>
      </c>
      <c r="D13" s="12"/>
      <c r="E13" s="12"/>
      <c r="F13" s="12"/>
      <c r="G13" s="12"/>
      <c r="H13" s="12"/>
      <c r="I13" s="12"/>
      <c r="J13" s="12"/>
    </row>
    <row r="14" spans="1:11" ht="22" x14ac:dyDescent="0.3">
      <c r="A14" s="10" t="s">
        <v>19</v>
      </c>
      <c r="B14" s="10" t="s">
        <v>6</v>
      </c>
      <c r="C14" s="6">
        <f>SUMIF(Table327[[#Data],[#Totals],[Movement]],"Credit", Table327[[#Data],[#Totals],[2024-05-01]])-SUMIF(Table327[[#Data],[#Totals],[Movement]],"Debit", Table327[[#Data],[#Totals],[2024-05-01]])</f>
        <v>0</v>
      </c>
      <c r="D14" s="6">
        <f>SUMIF(Table327[[#Data],[#Totals],[Movement]],"Credit", Table327[[#Data],[#Totals],[2024-06-01]])-SUMIF(Table327[[#Data],[#Totals],[Movement]],"Debit", Table327[[#Data],[#Totals],[2024-06-01]])</f>
        <v>0</v>
      </c>
      <c r="E14" s="6">
        <f>SUMIF(Table327[[#Data],[#Totals],[Movement]],"Credit", Table327[[#Data],[#Totals],[2024-07-01]])-SUMIF(Table327[[#Data],[#Totals],[Movement]],"Debit", Table327[[#Data],[#Totals],[2024-07-01]])</f>
        <v>0</v>
      </c>
      <c r="F14" s="6">
        <f>SUMIF(Table327[[#Data],[#Totals],[Movement]],"Credit", Table327[[#Data],[#Totals],[2024-08-01]])-SUMIF(Table327[[#Data],[#Totals],[Movement]],"Debit", Table327[[#Data],[#Totals],[2024-08-01]])</f>
        <v>0</v>
      </c>
      <c r="G14" s="6">
        <f>SUMIF(Table327[[#Data],[#Totals],[Movement]],"Credit", Table327[[#Data],[#Totals],[2024-09-01]])-SUMIF(Table327[[#Data],[#Totals],[Movement]],"Debit", Table327[[#Data],[#Totals],[2024-09-01]])</f>
        <v>0</v>
      </c>
      <c r="H14" s="6">
        <f>SUMIF(Table327[[#Data],[#Totals],[Movement]],"Credit", Table327[[#Data],[#Totals],[2024-10-01]])-SUMIF(Table327[[#Data],[#Totals],[Movement]],"Debit", Table327[[#Data],[#Totals],[2024-10-01]])</f>
        <v>0</v>
      </c>
      <c r="I14" s="6">
        <f>SUMIF(Table327[[#Data],[#Totals],[Movement]],"Credit", Table327[[#Data],[#Totals],[2024-11-01]])-SUMIF(Table327[[#Data],[#Totals],[Movement]],"Debit", Table327[[#Data],[#Totals],[2024-11-01]])</f>
        <v>0</v>
      </c>
      <c r="J14" s="6">
        <f>SUMIF(Table327[[#Data],[#Totals],[Movement]],"Credit", Table327[[#Data],[#Totals],[2024-12-01]])-SUMIF(Table327[[#Data],[#Totals],[Movement]],"Debit", Table327[[#Data],[#Totals],[2024-12-01]])</f>
        <v>0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C69BB-D6E7-864C-8298-CC4E9A18C604}">
  <dimension ref="A1:K17"/>
  <sheetViews>
    <sheetView showGridLines="0" tabSelected="1" workbookViewId="0">
      <selection activeCell="I17" sqref="I17"/>
    </sheetView>
  </sheetViews>
  <sheetFormatPr baseColWidth="10" defaultRowHeight="16" x14ac:dyDescent="0.2"/>
  <cols>
    <col min="2" max="2" width="27.6640625" customWidth="1"/>
    <col min="3" max="3" width="20" hidden="1" customWidth="1"/>
    <col min="4" max="5" width="15.1640625" style="1" hidden="1" customWidth="1"/>
    <col min="6" max="7" width="15.1640625" hidden="1" customWidth="1"/>
    <col min="8" max="11" width="15.1640625" bestFit="1" customWidth="1"/>
  </cols>
  <sheetData>
    <row r="1" spans="1:11" ht="17" thickBot="1" x14ac:dyDescent="0.25">
      <c r="A1" s="4" t="s">
        <v>4</v>
      </c>
      <c r="B1" s="7" t="s">
        <v>16</v>
      </c>
      <c r="C1" s="8" t="s">
        <v>8</v>
      </c>
      <c r="D1" s="8" t="s">
        <v>9</v>
      </c>
      <c r="E1" s="8" t="s">
        <v>11</v>
      </c>
      <c r="F1" s="8" t="s">
        <v>10</v>
      </c>
      <c r="G1" s="8" t="s">
        <v>12</v>
      </c>
      <c r="H1" s="8" t="s">
        <v>13</v>
      </c>
      <c r="I1" s="8" t="s">
        <v>14</v>
      </c>
      <c r="J1" s="8" t="s">
        <v>15</v>
      </c>
    </row>
    <row r="2" spans="1:11" s="2" customFormat="1" ht="22" x14ac:dyDescent="0.3">
      <c r="A2" s="14" t="s">
        <v>17</v>
      </c>
      <c r="B2" s="15" t="s">
        <v>20</v>
      </c>
      <c r="C2" s="9">
        <v>0</v>
      </c>
      <c r="D2" s="9"/>
      <c r="E2" s="9">
        <v>3000</v>
      </c>
      <c r="F2" s="9">
        <v>2100</v>
      </c>
      <c r="G2" s="9">
        <v>2000</v>
      </c>
      <c r="H2" s="9">
        <v>3000</v>
      </c>
      <c r="I2" s="9">
        <v>3000</v>
      </c>
      <c r="J2" s="9">
        <v>3000</v>
      </c>
    </row>
    <row r="3" spans="1:11" s="2" customFormat="1" ht="22" x14ac:dyDescent="0.3">
      <c r="A3" s="14" t="s">
        <v>17</v>
      </c>
      <c r="B3" s="15" t="s">
        <v>28</v>
      </c>
      <c r="C3" s="9"/>
      <c r="D3" s="9"/>
      <c r="E3" s="9">
        <v>1671</v>
      </c>
      <c r="F3" s="19">
        <v>827</v>
      </c>
      <c r="G3" s="9">
        <v>400</v>
      </c>
      <c r="H3" s="9"/>
      <c r="I3" s="9"/>
      <c r="J3" s="9"/>
    </row>
    <row r="4" spans="1:11" s="3" customFormat="1" ht="22" x14ac:dyDescent="0.3">
      <c r="A4" s="11" t="s">
        <v>18</v>
      </c>
      <c r="B4" s="13" t="s">
        <v>3</v>
      </c>
      <c r="C4" s="12">
        <v>0</v>
      </c>
      <c r="D4" s="12"/>
      <c r="E4" s="12">
        <v>2000</v>
      </c>
      <c r="F4" s="18">
        <v>2000</v>
      </c>
      <c r="G4" s="12">
        <v>2000</v>
      </c>
      <c r="H4" s="12">
        <v>2000</v>
      </c>
      <c r="I4" s="12">
        <v>2000</v>
      </c>
      <c r="J4" s="12">
        <v>2000</v>
      </c>
      <c r="K4" s="5"/>
    </row>
    <row r="5" spans="1:11" s="3" customFormat="1" ht="22" x14ac:dyDescent="0.3">
      <c r="A5" s="11" t="s">
        <v>18</v>
      </c>
      <c r="B5" s="13" t="s">
        <v>25</v>
      </c>
      <c r="C5" s="12">
        <v>0</v>
      </c>
      <c r="D5" s="12"/>
      <c r="E5" s="12">
        <v>200</v>
      </c>
      <c r="F5" s="17">
        <v>100</v>
      </c>
      <c r="G5" s="12">
        <v>200</v>
      </c>
      <c r="H5" s="12">
        <v>200</v>
      </c>
      <c r="I5" s="12">
        <v>200</v>
      </c>
      <c r="J5" s="12">
        <v>200</v>
      </c>
    </row>
    <row r="6" spans="1:11" s="3" customFormat="1" ht="22" x14ac:dyDescent="0.3">
      <c r="A6" s="11" t="s">
        <v>18</v>
      </c>
      <c r="B6" s="13" t="s">
        <v>27</v>
      </c>
      <c r="C6" s="12"/>
      <c r="D6" s="12"/>
      <c r="E6" s="12">
        <v>500</v>
      </c>
      <c r="F6" s="12">
        <v>400</v>
      </c>
      <c r="G6" s="12">
        <v>500</v>
      </c>
      <c r="H6" s="12">
        <v>500</v>
      </c>
      <c r="I6" s="12">
        <v>500</v>
      </c>
      <c r="J6" s="12">
        <v>500</v>
      </c>
    </row>
    <row r="7" spans="1:11" s="3" customFormat="1" ht="22" x14ac:dyDescent="0.3">
      <c r="A7" s="11" t="s">
        <v>18</v>
      </c>
      <c r="B7" s="13" t="s">
        <v>30</v>
      </c>
      <c r="C7" s="12"/>
      <c r="D7" s="12"/>
      <c r="E7" s="12">
        <v>1000</v>
      </c>
      <c r="F7" s="12"/>
      <c r="G7" s="12"/>
      <c r="H7" s="12"/>
      <c r="I7" s="12"/>
      <c r="J7" s="12"/>
    </row>
    <row r="8" spans="1:11" s="3" customFormat="1" ht="22" x14ac:dyDescent="0.3">
      <c r="A8" s="13" t="s">
        <v>18</v>
      </c>
      <c r="B8" s="13" t="s">
        <v>31</v>
      </c>
      <c r="C8" s="12"/>
      <c r="D8" s="12"/>
      <c r="E8" s="12">
        <v>200</v>
      </c>
      <c r="F8" s="18">
        <v>200</v>
      </c>
      <c r="G8" s="12">
        <v>200</v>
      </c>
      <c r="H8" s="12"/>
      <c r="I8" s="12">
        <v>200</v>
      </c>
      <c r="J8" s="12">
        <v>200</v>
      </c>
    </row>
    <row r="9" spans="1:11" s="3" customFormat="1" ht="22" x14ac:dyDescent="0.3">
      <c r="A9" s="11" t="s">
        <v>18</v>
      </c>
      <c r="B9" s="13" t="s">
        <v>29</v>
      </c>
      <c r="C9" s="12">
        <v>0</v>
      </c>
      <c r="D9" s="12"/>
      <c r="E9" s="12">
        <v>200</v>
      </c>
      <c r="F9" s="12">
        <v>200</v>
      </c>
      <c r="G9" s="12">
        <v>200</v>
      </c>
      <c r="H9" s="12">
        <v>200</v>
      </c>
      <c r="I9" s="12">
        <v>200</v>
      </c>
      <c r="J9" s="12">
        <v>200</v>
      </c>
    </row>
    <row r="10" spans="1:11" ht="22" x14ac:dyDescent="0.3">
      <c r="A10" s="10" t="s">
        <v>19</v>
      </c>
      <c r="B10" s="10" t="s">
        <v>6</v>
      </c>
      <c r="C10" s="6">
        <f>SUMIF(Table3272[[#Data],[#Totals],[Movement]],"Credit", Table3272[[#Data],[#Totals],[2024-05-01]])-SUMIF(Table3272[[#Data],[#Totals],[Movement]],"Debit", Table3272[[#Data],[#Totals],[2024-05-01]])</f>
        <v>0</v>
      </c>
      <c r="D10" s="6">
        <f>SUMIF(Table3272[[#Data],[#Totals],[Movement]],"Credit", Table3272[[#Data],[#Totals],[2024-06-01]])-SUMIF(Table3272[[#Data],[#Totals],[Movement]],"Debit", Table3272[[#Data],[#Totals],[2024-06-01]])</f>
        <v>0</v>
      </c>
      <c r="E10" s="6">
        <f>SUMIF(Table3272[[#Data],[#Totals],[Movement]],"Credit", Table3272[[#Data],[#Totals],[2024-07-01]])-SUMIF(Table3272[[#Data],[#Totals],[Movement]],"Debit", Table3272[[#Data],[#Totals],[2024-07-01]])</f>
        <v>571</v>
      </c>
      <c r="F10" s="6">
        <f>SUMIF(Table3272[[#Data],[#Totals],[Movement]],"Credit", Table3272[[#Data],[#Totals],[2024-08-01]])-SUMIF(Table3272[[#Data],[#Totals],[Movement]],"Debit", Table3272[[#Data],[#Totals],[2024-08-01]])</f>
        <v>27</v>
      </c>
      <c r="G10" s="6">
        <f>SUMIF(Table3272[[#Data],[#Totals],[Movement]],"Credit", Table3272[[#Data],[#Totals],[2024-09-01]])-SUMIF(Table3272[[#Data],[#Totals],[Movement]],"Debit", Table3272[[#Data],[#Totals],[2024-09-01]])</f>
        <v>-700</v>
      </c>
      <c r="H10" s="6">
        <f>SUMIF(Table3272[[#Data],[#Totals],[Movement]],"Credit", Table3272[[#Data],[#Totals],[2024-10-01]])-SUMIF(Table3272[[#Data],[#Totals],[Movement]],"Debit", Table3272[[#Data],[#Totals],[2024-10-01]])</f>
        <v>100</v>
      </c>
      <c r="I10" s="6">
        <f>SUMIF(Table3272[[#Data],[#Totals],[Movement]],"Credit", Table3272[[#Data],[#Totals],[2024-11-01]])-SUMIF(Table3272[[#Data],[#Totals],[Movement]],"Debit", Table3272[[#Data],[#Totals],[2024-11-01]])</f>
        <v>-100</v>
      </c>
      <c r="J10" s="6">
        <f>SUMIF(Table3272[[#Data],[#Totals],[Movement]],"Credit", Table3272[[#Data],[#Totals],[2024-12-01]])-SUMIF(Table3272[[#Data],[#Totals],[Movement]],"Debit", Table3272[[#Data],[#Totals],[2024-12-01]])</f>
        <v>-100</v>
      </c>
    </row>
    <row r="17" spans="6:6" x14ac:dyDescent="0.2">
      <c r="F17" t="s">
        <v>32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8A62E-944D-7444-8831-7279A0CAD8C2}">
  <dimension ref="A1:K7"/>
  <sheetViews>
    <sheetView showGridLines="0" workbookViewId="0">
      <selection activeCell="E12" sqref="E12"/>
    </sheetView>
  </sheetViews>
  <sheetFormatPr baseColWidth="10" defaultRowHeight="16" x14ac:dyDescent="0.2"/>
  <cols>
    <col min="2" max="2" width="27.6640625" customWidth="1"/>
    <col min="3" max="3" width="20" hidden="1" customWidth="1"/>
    <col min="4" max="4" width="15.1640625" style="1" hidden="1" customWidth="1"/>
    <col min="5" max="5" width="15.1640625" style="1" bestFit="1" customWidth="1"/>
    <col min="6" max="11" width="15.1640625" bestFit="1" customWidth="1"/>
  </cols>
  <sheetData>
    <row r="1" spans="1:11" ht="17" thickBot="1" x14ac:dyDescent="0.25">
      <c r="A1" s="4" t="s">
        <v>4</v>
      </c>
      <c r="B1" s="7" t="s">
        <v>16</v>
      </c>
      <c r="C1" s="8" t="s">
        <v>8</v>
      </c>
      <c r="D1" s="8" t="s">
        <v>9</v>
      </c>
      <c r="E1" s="8" t="s">
        <v>11</v>
      </c>
      <c r="F1" s="8" t="s">
        <v>10</v>
      </c>
      <c r="G1" s="8" t="s">
        <v>12</v>
      </c>
      <c r="H1" s="8" t="s">
        <v>13</v>
      </c>
      <c r="I1" s="8" t="s">
        <v>14</v>
      </c>
      <c r="J1" s="8" t="s">
        <v>15</v>
      </c>
    </row>
    <row r="2" spans="1:11" s="2" customFormat="1" ht="22" x14ac:dyDescent="0.3">
      <c r="A2" s="14" t="s">
        <v>17</v>
      </c>
      <c r="B2" s="15" t="s">
        <v>6</v>
      </c>
      <c r="C2" s="9">
        <v>0</v>
      </c>
      <c r="D2" s="9"/>
      <c r="E2" s="9">
        <v>500</v>
      </c>
      <c r="F2" s="9">
        <v>500</v>
      </c>
      <c r="G2" s="9">
        <v>500</v>
      </c>
      <c r="H2" s="9">
        <v>500</v>
      </c>
      <c r="I2" s="9">
        <v>500</v>
      </c>
      <c r="J2" s="9">
        <v>500</v>
      </c>
    </row>
    <row r="3" spans="1:11" s="3" customFormat="1" ht="22" x14ac:dyDescent="0.3">
      <c r="A3" s="11" t="s">
        <v>18</v>
      </c>
      <c r="B3" s="13" t="s">
        <v>23</v>
      </c>
      <c r="C3" s="12">
        <v>0</v>
      </c>
      <c r="D3" s="12"/>
      <c r="E3" s="12"/>
      <c r="F3" s="12"/>
      <c r="G3" s="12"/>
      <c r="H3" s="12"/>
      <c r="I3" s="12"/>
      <c r="J3" s="12"/>
      <c r="K3" s="5"/>
    </row>
    <row r="4" spans="1:11" s="3" customFormat="1" ht="22" x14ac:dyDescent="0.3">
      <c r="A4" s="11" t="s">
        <v>18</v>
      </c>
      <c r="B4" s="13" t="s">
        <v>24</v>
      </c>
      <c r="C4" s="12">
        <v>0</v>
      </c>
      <c r="D4" s="12"/>
      <c r="E4" s="12"/>
      <c r="F4" s="12"/>
      <c r="G4" s="12"/>
      <c r="H4" s="12"/>
      <c r="I4" s="12"/>
      <c r="J4" s="12"/>
    </row>
    <row r="5" spans="1:11" s="3" customFormat="1" ht="22" x14ac:dyDescent="0.3">
      <c r="A5" s="11" t="s">
        <v>18</v>
      </c>
      <c r="B5" s="13"/>
      <c r="C5" s="12">
        <v>0</v>
      </c>
      <c r="D5" s="12"/>
      <c r="E5" s="12"/>
      <c r="F5" s="12"/>
      <c r="G5" s="12"/>
      <c r="H5" s="12"/>
      <c r="I5" s="12"/>
      <c r="J5" s="12"/>
    </row>
    <row r="6" spans="1:11" s="3" customFormat="1" ht="22" x14ac:dyDescent="0.3">
      <c r="A6" s="11" t="s">
        <v>18</v>
      </c>
      <c r="B6" s="13"/>
      <c r="C6" s="12">
        <v>0</v>
      </c>
      <c r="D6" s="12"/>
      <c r="E6" s="12"/>
      <c r="F6" s="12"/>
      <c r="G6" s="12"/>
      <c r="H6" s="12"/>
      <c r="I6" s="12"/>
      <c r="J6" s="12"/>
    </row>
    <row r="7" spans="1:11" ht="22" x14ac:dyDescent="0.3">
      <c r="A7" s="10" t="s">
        <v>19</v>
      </c>
      <c r="B7" s="10" t="s">
        <v>6</v>
      </c>
      <c r="C7" s="6">
        <f>SUMIF(Table32734[[#Data],[#Totals],[Movement]],"Credit", Table32734[[#Data],[#Totals],[2024-05-01]])-SUMIF(Table32734[[#Data],[#Totals],[Movement]],"Debit", Table32734[[#Data],[#Totals],[2024-05-01]])</f>
        <v>0</v>
      </c>
      <c r="D7" s="6">
        <f>SUMIF(Table32734[[#Data],[#Totals],[Movement]],"Credit", Table32734[[#Data],[#Totals],[2024-06-01]])-SUMIF(Table32734[[#Data],[#Totals],[Movement]],"Debit", Table32734[[#Data],[#Totals],[2024-06-01]])</f>
        <v>0</v>
      </c>
      <c r="E7" s="6">
        <f>SUMIF(Table32734[[#Data],[#Totals],[Movement]],"Credit", Table32734[[#Data],[#Totals],[2024-07-01]])-SUMIF(Table32734[[#Data],[#Totals],[Movement]],"Debit", Table32734[[#Data],[#Totals],[2024-07-01]])</f>
        <v>500</v>
      </c>
      <c r="F7" s="6">
        <f>SUMIF(Table32734[[#Data],[#Totals],[Movement]],"Credit", Table32734[[#Data],[#Totals],[2024-08-01]])-SUMIF(Table32734[[#Data],[#Totals],[Movement]],"Debit", Table32734[[#Data],[#Totals],[2024-08-01]])</f>
        <v>500</v>
      </c>
      <c r="G7" s="6">
        <f>SUMIF(Table32734[[#Data],[#Totals],[Movement]],"Credit", Table32734[[#Data],[#Totals],[2024-09-01]])-SUMIF(Table32734[[#Data],[#Totals],[Movement]],"Debit", Table32734[[#Data],[#Totals],[2024-09-01]])</f>
        <v>500</v>
      </c>
      <c r="H7" s="6">
        <f>SUMIF(Table32734[[#Data],[#Totals],[Movement]],"Credit", Table32734[[#Data],[#Totals],[2024-10-01]])-SUMIF(Table32734[[#Data],[#Totals],[Movement]],"Debit", Table32734[[#Data],[#Totals],[2024-10-01]])</f>
        <v>500</v>
      </c>
      <c r="I7" s="6">
        <f>SUMIF(Table32734[[#Data],[#Totals],[Movement]],"Credit", Table32734[[#Data],[#Totals],[2024-11-01]])-SUMIF(Table32734[[#Data],[#Totals],[Movement]],"Debit", Table32734[[#Data],[#Totals],[2024-11-01]])</f>
        <v>500</v>
      </c>
      <c r="J7" s="6">
        <f>SUMIF(Table32734[[#Data],[#Totals],[Movement]],"Credit", Table32734[[#Data],[#Totals],[2024-12-01]])-SUMIF(Table32734[[#Data],[#Totals],[Movement]],"Debit", Table32734[[#Data],[#Totals],[2024-12-01]])</f>
        <v>500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7A0A8-12F4-574A-B550-2D042188D76A}">
  <dimension ref="A1:K7"/>
  <sheetViews>
    <sheetView showGridLines="0" workbookViewId="0">
      <selection activeCell="F4" sqref="F4"/>
    </sheetView>
  </sheetViews>
  <sheetFormatPr baseColWidth="10" defaultRowHeight="16" x14ac:dyDescent="0.2"/>
  <cols>
    <col min="2" max="2" width="27.6640625" customWidth="1"/>
    <col min="3" max="3" width="20" hidden="1" customWidth="1"/>
    <col min="4" max="4" width="15.1640625" style="1" hidden="1" customWidth="1"/>
    <col min="5" max="5" width="15.1640625" style="1" bestFit="1" customWidth="1"/>
    <col min="6" max="11" width="15.1640625" bestFit="1" customWidth="1"/>
  </cols>
  <sheetData>
    <row r="1" spans="1:11" ht="17" thickBot="1" x14ac:dyDescent="0.25">
      <c r="A1" s="4" t="s">
        <v>4</v>
      </c>
      <c r="B1" s="7" t="s">
        <v>16</v>
      </c>
      <c r="C1" s="8" t="s">
        <v>8</v>
      </c>
      <c r="D1" s="8" t="s">
        <v>9</v>
      </c>
      <c r="E1" s="8" t="s">
        <v>11</v>
      </c>
      <c r="F1" s="8" t="s">
        <v>10</v>
      </c>
      <c r="G1" s="8" t="s">
        <v>12</v>
      </c>
      <c r="H1" s="8" t="s">
        <v>13</v>
      </c>
      <c r="I1" s="8" t="s">
        <v>14</v>
      </c>
      <c r="J1" s="8" t="s">
        <v>15</v>
      </c>
    </row>
    <row r="2" spans="1:11" s="2" customFormat="1" ht="22" x14ac:dyDescent="0.3">
      <c r="A2" s="14" t="s">
        <v>17</v>
      </c>
      <c r="B2" s="15" t="s">
        <v>26</v>
      </c>
      <c r="C2" s="9">
        <v>0</v>
      </c>
      <c r="D2" s="9"/>
      <c r="E2" s="9">
        <v>100</v>
      </c>
      <c r="F2" s="9">
        <v>100</v>
      </c>
      <c r="G2" s="9">
        <v>100</v>
      </c>
      <c r="H2" s="9">
        <v>100</v>
      </c>
      <c r="I2" s="9">
        <v>100</v>
      </c>
      <c r="J2" s="9">
        <v>100</v>
      </c>
    </row>
    <row r="3" spans="1:11" s="3" customFormat="1" ht="22" x14ac:dyDescent="0.3">
      <c r="A3" s="11" t="s">
        <v>18</v>
      </c>
      <c r="B3" s="11"/>
      <c r="C3" s="12">
        <v>0</v>
      </c>
      <c r="D3" s="12"/>
      <c r="E3" s="12"/>
      <c r="F3" s="12"/>
      <c r="G3" s="12"/>
      <c r="H3" s="12"/>
      <c r="I3" s="12"/>
      <c r="J3" s="12"/>
      <c r="K3" s="5"/>
    </row>
    <row r="4" spans="1:11" s="3" customFormat="1" ht="22" x14ac:dyDescent="0.3">
      <c r="A4" s="11" t="s">
        <v>18</v>
      </c>
      <c r="B4" s="11"/>
      <c r="C4" s="12">
        <v>0</v>
      </c>
      <c r="D4" s="12"/>
      <c r="E4" s="12"/>
      <c r="F4" s="12"/>
      <c r="G4" s="12"/>
      <c r="H4" s="12"/>
      <c r="I4" s="12"/>
      <c r="J4" s="12"/>
    </row>
    <row r="5" spans="1:11" s="3" customFormat="1" ht="22" x14ac:dyDescent="0.3">
      <c r="A5" s="11" t="s">
        <v>18</v>
      </c>
      <c r="B5" s="13"/>
      <c r="C5" s="12">
        <v>0</v>
      </c>
      <c r="D5" s="12"/>
      <c r="E5" s="12"/>
      <c r="F5" s="12"/>
      <c r="G5" s="12"/>
      <c r="H5" s="12"/>
      <c r="I5" s="12"/>
      <c r="J5" s="12"/>
    </row>
    <row r="6" spans="1:11" s="3" customFormat="1" ht="22" x14ac:dyDescent="0.3">
      <c r="A6" s="11" t="s">
        <v>18</v>
      </c>
      <c r="B6" s="13"/>
      <c r="C6" s="12">
        <v>0</v>
      </c>
      <c r="D6" s="12"/>
      <c r="E6" s="12"/>
      <c r="F6" s="12"/>
      <c r="G6" s="12"/>
      <c r="H6" s="12"/>
      <c r="I6" s="12"/>
      <c r="J6" s="12"/>
    </row>
    <row r="7" spans="1:11" ht="22" x14ac:dyDescent="0.3">
      <c r="A7" s="10" t="s">
        <v>19</v>
      </c>
      <c r="B7" s="10" t="s">
        <v>6</v>
      </c>
      <c r="C7" s="6">
        <f>SUMIF(Table32735[[#Data],[#Totals],[Movement]],"Credit", Table32735[[#Data],[#Totals],[2024-05-01]])-SUMIF(Table32735[[#Data],[#Totals],[Movement]],"Debit", Table32735[[#Data],[#Totals],[2024-05-01]])</f>
        <v>0</v>
      </c>
      <c r="D7" s="6">
        <f>SUMIF(Table32735[[#Data],[#Totals],[Movement]],"Credit", Table32735[[#Data],[#Totals],[2024-06-01]])-SUMIF(Table32735[[#Data],[#Totals],[Movement]],"Debit", Table32735[[#Data],[#Totals],[2024-06-01]])</f>
        <v>0</v>
      </c>
      <c r="E7" s="6">
        <f>SUMIF(Table32735[[#Data],[#Totals],[Movement]],"Credit", Table32735[[#Data],[#Totals],[2024-07-01]])-SUMIF(Table32735[[#Data],[#Totals],[Movement]],"Debit", Table32735[[#Data],[#Totals],[2024-07-01]])</f>
        <v>100</v>
      </c>
      <c r="F7" s="6">
        <f>SUMIF(Table32735[[#Data],[#Totals],[Movement]],"Credit", Table32735[[#Data],[#Totals],[2024-08-01]])-SUMIF(Table32735[[#Data],[#Totals],[Movement]],"Debit", Table32735[[#Data],[#Totals],[2024-08-01]])</f>
        <v>100</v>
      </c>
      <c r="G7" s="6">
        <f>SUMIF(Table32735[[#Data],[#Totals],[Movement]],"Credit", Table32735[[#Data],[#Totals],[2024-09-01]])-SUMIF(Table32735[[#Data],[#Totals],[Movement]],"Debit", Table32735[[#Data],[#Totals],[2024-09-01]])</f>
        <v>100</v>
      </c>
      <c r="H7" s="6">
        <f>SUMIF(Table32735[[#Data],[#Totals],[Movement]],"Credit", Table32735[[#Data],[#Totals],[2024-10-01]])-SUMIF(Table32735[[#Data],[#Totals],[Movement]],"Debit", Table32735[[#Data],[#Totals],[2024-10-01]])</f>
        <v>100</v>
      </c>
      <c r="I7" s="6">
        <f>SUMIF(Table32735[[#Data],[#Totals],[Movement]],"Credit", Table32735[[#Data],[#Totals],[2024-11-01]])-SUMIF(Table32735[[#Data],[#Totals],[Movement]],"Debit", Table32735[[#Data],[#Totals],[2024-11-01]])</f>
        <v>100</v>
      </c>
      <c r="J7" s="6">
        <f>SUMIF(Table32735[[#Data],[#Totals],[Movement]],"Credit", Table32735[[#Data],[#Totals],[2024-12-01]])-SUMIF(Table32735[[#Data],[#Totals],[Movement]],"Debit", Table32735[[#Data],[#Totals],[2024-12-01]])</f>
        <v>100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FACFC-498E-F14A-8245-25CC90657249}">
  <dimension ref="A1:K7"/>
  <sheetViews>
    <sheetView showGridLines="0" workbookViewId="0">
      <selection activeCell="AI44" sqref="AI43:AI44"/>
    </sheetView>
  </sheetViews>
  <sheetFormatPr baseColWidth="10" defaultRowHeight="16" x14ac:dyDescent="0.2"/>
  <cols>
    <col min="2" max="2" width="27.6640625" customWidth="1"/>
    <col min="3" max="3" width="20" hidden="1" customWidth="1"/>
    <col min="4" max="4" width="15.1640625" style="1" hidden="1" customWidth="1"/>
    <col min="5" max="5" width="15.1640625" style="1" bestFit="1" customWidth="1"/>
    <col min="6" max="11" width="15.1640625" bestFit="1" customWidth="1"/>
  </cols>
  <sheetData>
    <row r="1" spans="1:11" ht="17" thickBot="1" x14ac:dyDescent="0.25">
      <c r="A1" s="4" t="s">
        <v>4</v>
      </c>
      <c r="B1" s="7" t="s">
        <v>16</v>
      </c>
      <c r="C1" s="8" t="s">
        <v>8</v>
      </c>
      <c r="D1" s="8" t="s">
        <v>9</v>
      </c>
      <c r="E1" s="8" t="s">
        <v>11</v>
      </c>
      <c r="F1" s="8" t="s">
        <v>10</v>
      </c>
      <c r="G1" s="8" t="s">
        <v>12</v>
      </c>
      <c r="H1" s="8" t="s">
        <v>13</v>
      </c>
      <c r="I1" s="8" t="s">
        <v>14</v>
      </c>
      <c r="J1" s="8" t="s">
        <v>15</v>
      </c>
    </row>
    <row r="2" spans="1:11" s="2" customFormat="1" ht="22" x14ac:dyDescent="0.3">
      <c r="A2" s="14" t="s">
        <v>17</v>
      </c>
      <c r="B2" s="15" t="s">
        <v>6</v>
      </c>
      <c r="C2" s="9">
        <v>0</v>
      </c>
      <c r="D2" s="9"/>
      <c r="E2" s="9">
        <v>500</v>
      </c>
      <c r="F2" s="9">
        <v>500</v>
      </c>
      <c r="G2" s="9">
        <v>500</v>
      </c>
      <c r="H2" s="9">
        <v>500</v>
      </c>
      <c r="I2" s="9">
        <v>500</v>
      </c>
      <c r="J2" s="9">
        <v>500</v>
      </c>
    </row>
    <row r="3" spans="1:11" s="3" customFormat="1" ht="22" x14ac:dyDescent="0.3">
      <c r="A3" s="11" t="s">
        <v>18</v>
      </c>
      <c r="B3" s="11"/>
      <c r="C3" s="12">
        <v>0</v>
      </c>
      <c r="D3" s="12"/>
      <c r="E3" s="12"/>
      <c r="F3" s="12"/>
      <c r="G3" s="12"/>
      <c r="H3" s="12"/>
      <c r="I3" s="12"/>
      <c r="J3" s="12"/>
      <c r="K3" s="5"/>
    </row>
    <row r="4" spans="1:11" s="3" customFormat="1" ht="22" x14ac:dyDescent="0.3">
      <c r="A4" s="11" t="s">
        <v>18</v>
      </c>
      <c r="B4" s="11"/>
      <c r="C4" s="12">
        <v>0</v>
      </c>
      <c r="D4" s="12"/>
      <c r="E4" s="12"/>
      <c r="F4" s="12"/>
      <c r="G4" s="12"/>
      <c r="H4" s="12"/>
      <c r="I4" s="12"/>
      <c r="J4" s="12"/>
    </row>
    <row r="5" spans="1:11" s="3" customFormat="1" ht="22" x14ac:dyDescent="0.3">
      <c r="A5" s="11" t="s">
        <v>18</v>
      </c>
      <c r="B5" s="13"/>
      <c r="C5" s="12">
        <v>0</v>
      </c>
      <c r="D5" s="12"/>
      <c r="E5" s="12"/>
      <c r="F5" s="12"/>
      <c r="G5" s="12"/>
      <c r="H5" s="12"/>
      <c r="I5" s="12"/>
      <c r="J5" s="12"/>
    </row>
    <row r="6" spans="1:11" s="3" customFormat="1" ht="22" x14ac:dyDescent="0.3">
      <c r="A6" s="11" t="s">
        <v>18</v>
      </c>
      <c r="B6" s="13"/>
      <c r="C6" s="12">
        <v>0</v>
      </c>
      <c r="D6" s="12"/>
      <c r="E6" s="12"/>
      <c r="F6" s="12"/>
      <c r="G6" s="12"/>
      <c r="H6" s="12"/>
      <c r="I6" s="12"/>
      <c r="J6" s="12"/>
    </row>
    <row r="7" spans="1:11" ht="22" x14ac:dyDescent="0.3">
      <c r="A7" s="10" t="s">
        <v>19</v>
      </c>
      <c r="B7" s="10" t="s">
        <v>6</v>
      </c>
      <c r="C7" s="6">
        <f>SUMIF(Table3273[[#Data],[#Totals],[Movement]],"Credit", Table3273[[#Data],[#Totals],[2024-05-01]])-SUMIF(Table3273[[#Data],[#Totals],[Movement]],"Debit", Table3273[[#Data],[#Totals],[2024-05-01]])</f>
        <v>0</v>
      </c>
      <c r="D7" s="6">
        <f>SUMIF(Table3273[[#Data],[#Totals],[Movement]],"Credit", Table3273[[#Data],[#Totals],[2024-06-01]])-SUMIF(Table3273[[#Data],[#Totals],[Movement]],"Debit", Table3273[[#Data],[#Totals],[2024-06-01]])</f>
        <v>0</v>
      </c>
      <c r="E7" s="6">
        <f>SUMIF(Table3273[[#Data],[#Totals],[Movement]],"Credit", Table3273[[#Data],[#Totals],[2024-07-01]])-SUMIF(Table3273[[#Data],[#Totals],[Movement]],"Debit", Table3273[[#Data],[#Totals],[2024-07-01]])</f>
        <v>500</v>
      </c>
      <c r="F7" s="6">
        <f>SUMIF(Table3273[[#Data],[#Totals],[Movement]],"Credit", Table3273[[#Data],[#Totals],[2024-08-01]])-SUMIF(Table3273[[#Data],[#Totals],[Movement]],"Debit", Table3273[[#Data],[#Totals],[2024-08-01]])</f>
        <v>500</v>
      </c>
      <c r="G7" s="6">
        <f>SUMIF(Table3273[[#Data],[#Totals],[Movement]],"Credit", Table3273[[#Data],[#Totals],[2024-09-01]])-SUMIF(Table3273[[#Data],[#Totals],[Movement]],"Debit", Table3273[[#Data],[#Totals],[2024-09-01]])</f>
        <v>500</v>
      </c>
      <c r="H7" s="6">
        <f>SUMIF(Table3273[[#Data],[#Totals],[Movement]],"Credit", Table3273[[#Data],[#Totals],[2024-10-01]])-SUMIF(Table3273[[#Data],[#Totals],[Movement]],"Debit", Table3273[[#Data],[#Totals],[2024-10-01]])</f>
        <v>500</v>
      </c>
      <c r="I7" s="6">
        <f>SUMIF(Table3273[[#Data],[#Totals],[Movement]],"Credit", Table3273[[#Data],[#Totals],[2024-11-01]])-SUMIF(Table3273[[#Data],[#Totals],[Movement]],"Debit", Table3273[[#Data],[#Totals],[2024-11-01]])</f>
        <v>500</v>
      </c>
      <c r="J7" s="6">
        <f>SUMIF(Table3273[[#Data],[#Totals],[Movement]],"Credit", Table3273[[#Data],[#Totals],[2024-12-01]])-SUMIF(Table3273[[#Data],[#Totals],[Movement]],"Debit", Table3273[[#Data],[#Totals],[2024-12-01]])</f>
        <v>500</v>
      </c>
    </row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Jodine Transactional</vt:lpstr>
      <vt:lpstr>Jodine Cash</vt:lpstr>
      <vt:lpstr>Jodine Vehicle Savings</vt:lpstr>
      <vt:lpstr>Jodine Cash Savings</vt:lpstr>
      <vt:lpstr>Jodine Personal Savings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Jeanre Van Wyk</dc:creator>
  <cp:lastModifiedBy>Jeanre Van Wyk</cp:lastModifiedBy>
  <dcterms:created xsi:type="dcterms:W3CDTF">2024-04-07T08:39:01Z</dcterms:created>
  <dcterms:modified xsi:type="dcterms:W3CDTF">2024-10-27T08:25:16Z</dcterms:modified>
</cp:coreProperties>
</file>