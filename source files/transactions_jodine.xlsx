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C6D774C9-5059-A949-8AD2-E7B0B897A5F9}" xr6:coauthVersionLast="47" xr6:coauthVersionMax="47" xr10:uidLastSave="{00000000-0000-0000-0000-000000000000}"/>
  <bookViews>
    <workbookView xWindow="-65400" yWindow="-4640" windowWidth="23520" windowHeight="18760" xr2:uid="{F25DD163-696E-F842-A897-5E899A2812A7}"/>
  </bookViews>
  <sheets>
    <sheet name="Jodine Cash" sheetId="33" r:id="rId1"/>
    <sheet name="Jodine Cash Savings" sheetId="3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3" l="1"/>
  <c r="F3" i="33"/>
  <c r="F4" i="33"/>
  <c r="F5" i="33"/>
  <c r="F6" i="33"/>
  <c r="F7" i="33"/>
  <c r="F8" i="33"/>
  <c r="F9" i="33"/>
  <c r="F10" i="33"/>
  <c r="F11" i="33"/>
  <c r="F12" i="33"/>
  <c r="F13" i="33"/>
  <c r="F14" i="33"/>
  <c r="F15" i="33"/>
  <c r="F16" i="33"/>
  <c r="F17" i="33"/>
  <c r="F18" i="33"/>
  <c r="F19" i="33"/>
  <c r="F20" i="33"/>
  <c r="F21" i="33"/>
  <c r="F22" i="33"/>
  <c r="F23" i="33"/>
  <c r="F24" i="33"/>
  <c r="F25" i="33"/>
  <c r="F26" i="33"/>
  <c r="F27" i="33"/>
  <c r="F28" i="33"/>
  <c r="F29" i="33"/>
  <c r="F30" i="33"/>
  <c r="F31" i="33"/>
  <c r="F32" i="33"/>
  <c r="F33" i="33"/>
  <c r="F34" i="33"/>
  <c r="F35" i="33"/>
  <c r="F36" i="33"/>
  <c r="F37" i="33"/>
  <c r="F38" i="33"/>
  <c r="F39" i="33"/>
  <c r="F40" i="33"/>
  <c r="E23" i="33"/>
  <c r="D23" i="33"/>
  <c r="D40" i="33" s="1"/>
  <c r="E40" i="35"/>
  <c r="D40" i="35"/>
  <c r="C40" i="35"/>
  <c r="E40" i="33"/>
  <c r="C40" i="33" l="1"/>
</calcChain>
</file>

<file path=xl/sharedStrings.xml><?xml version="1.0" encoding="utf-8"?>
<sst xmlns="http://schemas.openxmlformats.org/spreadsheetml/2006/main" count="29" uniqueCount="18">
  <si>
    <t>Fuel</t>
  </si>
  <si>
    <t>Credit</t>
  </si>
  <si>
    <t>Debit</t>
  </si>
  <si>
    <t>Tips</t>
  </si>
  <si>
    <t xml:space="preserve">Account Secondary </t>
  </si>
  <si>
    <t>Amount Debit</t>
  </si>
  <si>
    <t>Amount Credit</t>
  </si>
  <si>
    <t>Brayat Fuel</t>
  </si>
  <si>
    <t>Eating Out</t>
  </si>
  <si>
    <t>Total</t>
  </si>
  <si>
    <t>Month</t>
  </si>
  <si>
    <t>Day</t>
  </si>
  <si>
    <t>26</t>
  </si>
  <si>
    <t>Vape</t>
  </si>
  <si>
    <t>22</t>
  </si>
  <si>
    <t>29</t>
  </si>
  <si>
    <t>Unknown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</si>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</sst>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7">
    <border>
      <left/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4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2" fillId="4" borderId="0" xfId="0" applyFont="1" applyFill="1"/>
    <xf numFmtId="0" fontId="3" fillId="0" borderId="2" xfId="0" applyFont="1" applyBorder="1"/>
    <xf numFmtId="0" fontId="3" fillId="2" borderId="2" xfId="0" applyFont="1" applyFill="1" applyBorder="1"/>
    <xf numFmtId="0" fontId="3" fillId="3" borderId="2" xfId="0" applyFont="1" applyFill="1" applyBorder="1"/>
    <xf numFmtId="0" fontId="1" fillId="0" borderId="3" xfId="0" applyFont="1" applyBorder="1"/>
    <xf numFmtId="0" fontId="3" fillId="0" borderId="4" xfId="0" applyFont="1" applyBorder="1"/>
    <xf numFmtId="0" fontId="3" fillId="2" borderId="4" xfId="0" applyFont="1" applyFill="1" applyBorder="1"/>
    <xf numFmtId="0" fontId="3" fillId="3" borderId="5" xfId="0" applyFont="1" applyFill="1" applyBorder="1"/>
    <xf numFmtId="17" fontId="4" fillId="0" borderId="0" xfId="0" applyNumberFormat="1" applyFont="1"/>
    <xf numFmtId="0" fontId="1" fillId="0" borderId="2" xfId="0" applyFont="1" applyBorder="1"/>
    <xf numFmtId="0" fontId="0" fillId="0" borderId="2" xfId="0" applyBorder="1"/>
    <xf numFmtId="49" fontId="2" fillId="4" borderId="0" xfId="0" applyNumberFormat="1" applyFont="1" applyFill="1"/>
    <xf numFmtId="49" fontId="2" fillId="0" borderId="0" xfId="0" applyNumberFormat="1" applyFont="1"/>
    <xf numFmtId="0" fontId="0" fillId="0" borderId="6" xfId="0" applyBorder="1"/>
  </cellXfs>
  <cellStyles count="1">
    <cellStyle name="Normal" xfId="0" builtinId="0"/>
  </cellStyles>
  <dxfs count="11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scheme val="minor"/>
      </font>
    </dxf>
    <dxf>
      <border>
        <bottom style="medium">
          <color rgb="FF000000"/>
        </bottom>
      </border>
    </dxf>
    <dxf>
      <border diagonalUp="0" diagonalDown="0">
        <left/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scheme val="minor"/>
      </font>
    </dxf>
    <dxf>
      <border>
        <bottom style="medium">
          <color theme="1"/>
        </bottom>
      </border>
    </dxf>
    <dxf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AB06BE-A700-E544-8CE8-B59345E4166A}" name="Table3" displayName="Table3" ref="A1:F40" totalsRowShown="0" headerRowDxfId="10" headerRowBorderDxfId="9">
  <autoFilter ref="A1:F40" xr:uid="{E6AB06BE-A700-E544-8CE8-B59345E4166A}"/>
  <tableColumns count="6">
    <tableColumn id="1" xr3:uid="{D67FDBCE-677C-2245-BA4C-C014BE578263}" name="Month" dataDxfId="8"/>
    <tableColumn id="2" xr3:uid="{A7489763-6819-1B4D-909D-C311DA5181BF}" name="Day"/>
    <tableColumn id="3" xr3:uid="{23F7BD35-6B8B-5B45-8361-7580517A6807}" name="Account Secondary "/>
    <tableColumn id="4" xr3:uid="{9CAC1C33-99D1-A642-821A-ADB9D7635EAF}" name="Debit" dataDxfId="7"/>
    <tableColumn id="5" xr3:uid="{5CD6EB23-BB8B-6A4A-815E-1C1CF6D44084}" name="Credit" dataDxfId="6"/>
    <tableColumn id="6" xr3:uid="{814D4890-8D6B-2347-83D9-B2FC1B5C5746}" name="Subtotal" dataDxfId="0">
      <calculatedColumnFormula>Table3[[#This Row],[Credit]]-Table3[[#This Row],[Debit]]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39B2D6C-ED5A-2E48-A021-C47867CAB746}" name="Table35" displayName="Table35" ref="A1:E40" totalsRowShown="0" headerRowDxfId="5" headerRowBorderDxfId="4">
  <autoFilter ref="A1:E40" xr:uid="{E6AB06BE-A700-E544-8CE8-B59345E4166A}"/>
  <tableColumns count="5">
    <tableColumn id="1" xr3:uid="{BD0BF1DF-7F71-5D47-BFF8-13BCD2785C3A}" name="Month" dataDxfId="3"/>
    <tableColumn id="2" xr3:uid="{BE983A1E-B216-2A4E-8E61-722D583FA0D6}" name="Day"/>
    <tableColumn id="3" xr3:uid="{D36B5713-DAA6-BE40-B5D9-4358B9BD5F6C}" name="Account Secondary "/>
    <tableColumn id="4" xr3:uid="{2D5A0B1D-96AD-484F-94BD-6964CB07D666}" name="Amount Debit" dataDxfId="2"/>
    <tableColumn id="5" xr3:uid="{680EBE77-593E-BF4B-8D23-8F7B400944BA}" name="Amount Credit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C4334-1DDE-9149-BD51-A69750779F02}">
  <dimension ref="A1:F41"/>
  <sheetViews>
    <sheetView tabSelected="1" workbookViewId="0">
      <selection activeCell="D6" sqref="D6"/>
    </sheetView>
  </sheetViews>
  <sheetFormatPr baseColWidth="10" defaultRowHeight="22" x14ac:dyDescent="0.3"/>
  <cols>
    <col min="1" max="1" width="10.83203125" style="2"/>
    <col min="2" max="2" width="14.1640625" style="2" customWidth="1"/>
    <col min="3" max="3" width="25" style="2" customWidth="1"/>
    <col min="4" max="4" width="19.5" style="3" customWidth="1"/>
    <col min="5" max="5" width="19.1640625" style="4" customWidth="1"/>
  </cols>
  <sheetData>
    <row r="1" spans="1:6" ht="23" thickBot="1" x14ac:dyDescent="0.35">
      <c r="A1" s="12" t="s">
        <v>10</v>
      </c>
      <c r="B1" s="13" t="s">
        <v>11</v>
      </c>
      <c r="C1" s="13" t="s">
        <v>4</v>
      </c>
      <c r="D1" s="14" t="s">
        <v>2</v>
      </c>
      <c r="E1" s="15" t="s">
        <v>1</v>
      </c>
      <c r="F1" s="21" t="s">
        <v>17</v>
      </c>
    </row>
    <row r="2" spans="1:6" x14ac:dyDescent="0.3">
      <c r="A2" s="16">
        <v>45444</v>
      </c>
      <c r="B2" s="19">
        <v>15</v>
      </c>
      <c r="C2" s="8" t="s">
        <v>3</v>
      </c>
      <c r="D2" s="6"/>
      <c r="E2" s="7">
        <v>350</v>
      </c>
      <c r="F2">
        <f>Table3[[#This Row],[Credit]]-Table3[[#This Row],[Debit]]</f>
        <v>350</v>
      </c>
    </row>
    <row r="3" spans="1:6" x14ac:dyDescent="0.3">
      <c r="A3" s="16">
        <v>45444</v>
      </c>
      <c r="B3" s="20">
        <v>17</v>
      </c>
      <c r="C3" s="5" t="s">
        <v>3</v>
      </c>
      <c r="D3" s="6"/>
      <c r="E3" s="7">
        <v>310</v>
      </c>
      <c r="F3">
        <f>Table3[[#This Row],[Credit]]-Table3[[#This Row],[Debit]]</f>
        <v>310</v>
      </c>
    </row>
    <row r="4" spans="1:6" x14ac:dyDescent="0.3">
      <c r="A4" s="16">
        <v>45444</v>
      </c>
      <c r="B4" s="19">
        <v>20</v>
      </c>
      <c r="C4" s="8" t="s">
        <v>3</v>
      </c>
      <c r="D4" s="6"/>
      <c r="E4" s="7">
        <v>350</v>
      </c>
      <c r="F4">
        <f>Table3[[#This Row],[Credit]]-Table3[[#This Row],[Debit]]</f>
        <v>350</v>
      </c>
    </row>
    <row r="5" spans="1:6" x14ac:dyDescent="0.3">
      <c r="A5" s="16">
        <v>45444</v>
      </c>
      <c r="B5" s="20">
        <v>20</v>
      </c>
      <c r="C5" s="5" t="s">
        <v>7</v>
      </c>
      <c r="D5" s="6"/>
      <c r="E5" s="7">
        <v>100</v>
      </c>
      <c r="F5">
        <f>Table3[[#This Row],[Credit]]-Table3[[#This Row],[Debit]]</f>
        <v>100</v>
      </c>
    </row>
    <row r="6" spans="1:6" x14ac:dyDescent="0.3">
      <c r="A6" s="16">
        <v>45444</v>
      </c>
      <c r="B6" s="19">
        <v>20</v>
      </c>
      <c r="C6" s="8" t="s">
        <v>0</v>
      </c>
      <c r="D6" s="6">
        <v>200</v>
      </c>
      <c r="E6" s="7"/>
      <c r="F6">
        <f>Table3[[#This Row],[Credit]]-Table3[[#This Row],[Debit]]</f>
        <v>-200</v>
      </c>
    </row>
    <row r="7" spans="1:6" x14ac:dyDescent="0.3">
      <c r="A7" s="16">
        <v>45444</v>
      </c>
      <c r="B7" s="20">
        <v>20</v>
      </c>
      <c r="C7" s="5" t="s">
        <v>8</v>
      </c>
      <c r="D7" s="6">
        <v>40</v>
      </c>
      <c r="E7" s="7"/>
      <c r="F7">
        <f>Table3[[#This Row],[Credit]]-Table3[[#This Row],[Debit]]</f>
        <v>-40</v>
      </c>
    </row>
    <row r="8" spans="1:6" x14ac:dyDescent="0.3">
      <c r="A8" s="16">
        <v>45444</v>
      </c>
      <c r="B8" s="19" t="s">
        <v>12</v>
      </c>
      <c r="C8" s="8" t="s">
        <v>0</v>
      </c>
      <c r="D8" s="6">
        <v>800</v>
      </c>
      <c r="E8" s="7"/>
      <c r="F8">
        <f>Table3[[#This Row],[Credit]]-Table3[[#This Row],[Debit]]</f>
        <v>-800</v>
      </c>
    </row>
    <row r="9" spans="1:6" x14ac:dyDescent="0.3">
      <c r="A9" s="16">
        <v>45444</v>
      </c>
      <c r="B9" s="20"/>
      <c r="C9" s="5" t="s">
        <v>3</v>
      </c>
      <c r="D9" s="6"/>
      <c r="E9" s="7">
        <v>756</v>
      </c>
      <c r="F9">
        <f>Table3[[#This Row],[Credit]]-Table3[[#This Row],[Debit]]</f>
        <v>756</v>
      </c>
    </row>
    <row r="10" spans="1:6" x14ac:dyDescent="0.3">
      <c r="A10" s="16">
        <v>45444</v>
      </c>
      <c r="B10" s="19"/>
      <c r="C10" s="8" t="s">
        <v>3</v>
      </c>
      <c r="D10" s="6"/>
      <c r="E10" s="7">
        <v>340</v>
      </c>
      <c r="F10">
        <f>Table3[[#This Row],[Credit]]-Table3[[#This Row],[Debit]]</f>
        <v>340</v>
      </c>
    </row>
    <row r="11" spans="1:6" x14ac:dyDescent="0.3">
      <c r="A11" s="16">
        <v>45444</v>
      </c>
      <c r="B11" s="20" t="s">
        <v>14</v>
      </c>
      <c r="C11" s="5" t="s">
        <v>13</v>
      </c>
      <c r="D11" s="6">
        <v>215</v>
      </c>
      <c r="E11" s="7"/>
      <c r="F11">
        <f>Table3[[#This Row],[Credit]]-Table3[[#This Row],[Debit]]</f>
        <v>-215</v>
      </c>
    </row>
    <row r="12" spans="1:6" x14ac:dyDescent="0.3">
      <c r="A12" s="16">
        <v>45444</v>
      </c>
      <c r="B12" s="19" t="s">
        <v>15</v>
      </c>
      <c r="C12" s="8" t="s">
        <v>3</v>
      </c>
      <c r="D12" s="6"/>
      <c r="E12" s="7">
        <v>810</v>
      </c>
      <c r="F12">
        <f>Table3[[#This Row],[Credit]]-Table3[[#This Row],[Debit]]</f>
        <v>810</v>
      </c>
    </row>
    <row r="13" spans="1:6" x14ac:dyDescent="0.3">
      <c r="A13" s="16">
        <v>45444</v>
      </c>
      <c r="B13" s="20"/>
      <c r="C13" s="5" t="s">
        <v>16</v>
      </c>
      <c r="D13" s="6">
        <v>90</v>
      </c>
      <c r="E13" s="7"/>
      <c r="F13">
        <f>Table3[[#This Row],[Credit]]-Table3[[#This Row],[Debit]]</f>
        <v>-90</v>
      </c>
    </row>
    <row r="14" spans="1:6" x14ac:dyDescent="0.3">
      <c r="B14" s="19"/>
      <c r="C14" s="8"/>
      <c r="D14" s="6"/>
      <c r="E14" s="7"/>
      <c r="F14">
        <f>Table3[[#This Row],[Credit]]-Table3[[#This Row],[Debit]]</f>
        <v>0</v>
      </c>
    </row>
    <row r="15" spans="1:6" x14ac:dyDescent="0.3">
      <c r="B15" s="20"/>
      <c r="C15" s="5"/>
      <c r="D15" s="6"/>
      <c r="E15" s="7"/>
      <c r="F15">
        <f>Table3[[#This Row],[Credit]]-Table3[[#This Row],[Debit]]</f>
        <v>0</v>
      </c>
    </row>
    <row r="16" spans="1:6" x14ac:dyDescent="0.3">
      <c r="B16" s="19"/>
      <c r="C16" s="8"/>
      <c r="D16" s="6"/>
      <c r="E16" s="7"/>
      <c r="F16">
        <f>Table3[[#This Row],[Credit]]-Table3[[#This Row],[Debit]]</f>
        <v>0</v>
      </c>
    </row>
    <row r="17" spans="2:6" x14ac:dyDescent="0.3">
      <c r="B17" s="20"/>
      <c r="C17" s="5"/>
      <c r="D17" s="6"/>
      <c r="E17" s="7"/>
      <c r="F17">
        <f>Table3[[#This Row],[Credit]]-Table3[[#This Row],[Debit]]</f>
        <v>0</v>
      </c>
    </row>
    <row r="18" spans="2:6" x14ac:dyDescent="0.3">
      <c r="B18" s="19"/>
      <c r="C18" s="8"/>
      <c r="D18" s="6"/>
      <c r="E18" s="7"/>
      <c r="F18">
        <f>Table3[[#This Row],[Credit]]-Table3[[#This Row],[Debit]]</f>
        <v>0</v>
      </c>
    </row>
    <row r="19" spans="2:6" x14ac:dyDescent="0.3">
      <c r="B19" s="20"/>
      <c r="C19" s="5"/>
      <c r="D19" s="6"/>
      <c r="E19" s="7"/>
      <c r="F19">
        <f>Table3[[#This Row],[Credit]]-Table3[[#This Row],[Debit]]</f>
        <v>0</v>
      </c>
    </row>
    <row r="20" spans="2:6" x14ac:dyDescent="0.3">
      <c r="B20" s="19"/>
      <c r="C20" s="8"/>
      <c r="D20" s="6"/>
      <c r="E20" s="7"/>
      <c r="F20">
        <f>Table3[[#This Row],[Credit]]-Table3[[#This Row],[Debit]]</f>
        <v>0</v>
      </c>
    </row>
    <row r="21" spans="2:6" x14ac:dyDescent="0.3">
      <c r="B21" s="20"/>
      <c r="C21" s="5"/>
      <c r="D21" s="6"/>
      <c r="E21" s="7"/>
      <c r="F21">
        <f>Table3[[#This Row],[Credit]]-Table3[[#This Row],[Debit]]</f>
        <v>0</v>
      </c>
    </row>
    <row r="22" spans="2:6" x14ac:dyDescent="0.3">
      <c r="B22" s="19"/>
      <c r="C22" s="8"/>
      <c r="D22" s="6"/>
      <c r="E22" s="7"/>
      <c r="F22">
        <f>Table3[[#This Row],[Credit]]-Table3[[#This Row],[Debit]]</f>
        <v>0</v>
      </c>
    </row>
    <row r="23" spans="2:6" x14ac:dyDescent="0.3">
      <c r="B23" s="20"/>
      <c r="C23" s="5" t="s">
        <v>17</v>
      </c>
      <c r="D23" s="6">
        <f>SUM(D2:D22)</f>
        <v>1345</v>
      </c>
      <c r="E23" s="7">
        <f>SUM(E2:E22)</f>
        <v>3016</v>
      </c>
      <c r="F23">
        <f>Table3[[#This Row],[Credit]]-Table3[[#This Row],[Debit]]</f>
        <v>1671</v>
      </c>
    </row>
    <row r="24" spans="2:6" x14ac:dyDescent="0.3">
      <c r="B24" s="19"/>
      <c r="C24" s="8"/>
      <c r="D24" s="6"/>
      <c r="E24" s="7"/>
      <c r="F24">
        <f>Table3[[#This Row],[Credit]]-Table3[[#This Row],[Debit]]</f>
        <v>0</v>
      </c>
    </row>
    <row r="25" spans="2:6" x14ac:dyDescent="0.3">
      <c r="B25" s="20"/>
      <c r="C25" s="5"/>
      <c r="D25" s="6"/>
      <c r="E25" s="7"/>
      <c r="F25">
        <f>Table3[[#This Row],[Credit]]-Table3[[#This Row],[Debit]]</f>
        <v>0</v>
      </c>
    </row>
    <row r="26" spans="2:6" x14ac:dyDescent="0.3">
      <c r="B26" s="19"/>
      <c r="C26" s="8"/>
      <c r="D26" s="6"/>
      <c r="E26" s="7"/>
      <c r="F26">
        <f>Table3[[#This Row],[Credit]]-Table3[[#This Row],[Debit]]</f>
        <v>0</v>
      </c>
    </row>
    <row r="27" spans="2:6" x14ac:dyDescent="0.3">
      <c r="B27" s="20"/>
      <c r="C27" s="5"/>
      <c r="D27" s="6"/>
      <c r="E27" s="7"/>
      <c r="F27">
        <f>Table3[[#This Row],[Credit]]-Table3[[#This Row],[Debit]]</f>
        <v>0</v>
      </c>
    </row>
    <row r="28" spans="2:6" x14ac:dyDescent="0.3">
      <c r="B28" s="19"/>
      <c r="C28" s="8"/>
      <c r="D28" s="6"/>
      <c r="E28" s="7"/>
      <c r="F28">
        <f>Table3[[#This Row],[Credit]]-Table3[[#This Row],[Debit]]</f>
        <v>0</v>
      </c>
    </row>
    <row r="29" spans="2:6" x14ac:dyDescent="0.3">
      <c r="B29" s="20"/>
      <c r="C29" s="5"/>
      <c r="D29" s="6"/>
      <c r="E29" s="7"/>
      <c r="F29">
        <f>Table3[[#This Row],[Credit]]-Table3[[#This Row],[Debit]]</f>
        <v>0</v>
      </c>
    </row>
    <row r="30" spans="2:6" x14ac:dyDescent="0.3">
      <c r="B30" s="19"/>
      <c r="C30" s="8"/>
      <c r="D30" s="6"/>
      <c r="E30" s="7"/>
      <c r="F30">
        <f>Table3[[#This Row],[Credit]]-Table3[[#This Row],[Debit]]</f>
        <v>0</v>
      </c>
    </row>
    <row r="31" spans="2:6" x14ac:dyDescent="0.3">
      <c r="B31" s="20"/>
      <c r="C31" s="5"/>
      <c r="D31" s="6"/>
      <c r="E31" s="7"/>
      <c r="F31">
        <f>Table3[[#This Row],[Credit]]-Table3[[#This Row],[Debit]]</f>
        <v>0</v>
      </c>
    </row>
    <row r="32" spans="2:6" x14ac:dyDescent="0.3">
      <c r="B32" s="19"/>
      <c r="C32" s="8"/>
      <c r="D32" s="6"/>
      <c r="E32" s="7"/>
      <c r="F32">
        <f>Table3[[#This Row],[Credit]]-Table3[[#This Row],[Debit]]</f>
        <v>0</v>
      </c>
    </row>
    <row r="33" spans="1:6" x14ac:dyDescent="0.3">
      <c r="B33" s="20"/>
      <c r="C33" s="5"/>
      <c r="D33" s="6"/>
      <c r="E33" s="7"/>
      <c r="F33">
        <f>Table3[[#This Row],[Credit]]-Table3[[#This Row],[Debit]]</f>
        <v>0</v>
      </c>
    </row>
    <row r="34" spans="1:6" x14ac:dyDescent="0.3">
      <c r="B34" s="19"/>
      <c r="C34" s="8"/>
      <c r="D34" s="6"/>
      <c r="E34" s="7"/>
      <c r="F34">
        <f>Table3[[#This Row],[Credit]]-Table3[[#This Row],[Debit]]</f>
        <v>0</v>
      </c>
    </row>
    <row r="35" spans="1:6" x14ac:dyDescent="0.3">
      <c r="B35" s="20"/>
      <c r="C35" s="5"/>
      <c r="D35" s="6"/>
      <c r="E35" s="7"/>
      <c r="F35">
        <f>Table3[[#This Row],[Credit]]-Table3[[#This Row],[Debit]]</f>
        <v>0</v>
      </c>
    </row>
    <row r="36" spans="1:6" x14ac:dyDescent="0.3">
      <c r="B36" s="19"/>
      <c r="C36" s="8"/>
      <c r="D36" s="6"/>
      <c r="E36" s="7"/>
      <c r="F36">
        <f>Table3[[#This Row],[Credit]]-Table3[[#This Row],[Debit]]</f>
        <v>0</v>
      </c>
    </row>
    <row r="37" spans="1:6" x14ac:dyDescent="0.3">
      <c r="B37" s="20"/>
      <c r="C37" s="5"/>
      <c r="D37" s="6"/>
      <c r="E37" s="7"/>
      <c r="F37">
        <f>Table3[[#This Row],[Credit]]-Table3[[#This Row],[Debit]]</f>
        <v>0</v>
      </c>
    </row>
    <row r="38" spans="1:6" x14ac:dyDescent="0.3">
      <c r="B38" s="19"/>
      <c r="C38" s="8"/>
      <c r="D38" s="6"/>
      <c r="E38" s="7"/>
      <c r="F38">
        <f>Table3[[#This Row],[Credit]]-Table3[[#This Row],[Debit]]</f>
        <v>0</v>
      </c>
    </row>
    <row r="39" spans="1:6" ht="23" thickBot="1" x14ac:dyDescent="0.35">
      <c r="B39" s="20"/>
      <c r="C39" s="5"/>
      <c r="D39" s="6"/>
      <c r="E39" s="7"/>
      <c r="F39">
        <f>Table3[[#This Row],[Credit]]-Table3[[#This Row],[Debit]]</f>
        <v>0</v>
      </c>
    </row>
    <row r="40" spans="1:6" s="1" customFormat="1" ht="23" thickBot="1" x14ac:dyDescent="0.35">
      <c r="A40" s="17" t="s">
        <v>9</v>
      </c>
      <c r="B40" s="18"/>
      <c r="C40" s="9">
        <f>'Jodine Cash'!$E$40-'Jodine Cash'!$D$40</f>
        <v>3342</v>
      </c>
      <c r="D40" s="10">
        <f>SUBTOTAL(109,'Jodine Cash'!$D$2:$D$39)</f>
        <v>2690</v>
      </c>
      <c r="E40" s="11">
        <f>SUBTOTAL(109,'Jodine Cash'!$E$2:$E$39)</f>
        <v>6032</v>
      </c>
      <c r="F40" s="1">
        <f>Table3[[#This Row],[Credit]]-Table3[[#This Row],[Debit]]</f>
        <v>3342</v>
      </c>
    </row>
    <row r="41" spans="1:6" ht="23" thickTop="1" x14ac:dyDescent="0.3"/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6C99B-F7DD-954D-8AC7-498CBBD7D4FD}">
  <dimension ref="A1:E41"/>
  <sheetViews>
    <sheetView workbookViewId="0">
      <selection activeCell="D16" sqref="D16"/>
    </sheetView>
  </sheetViews>
  <sheetFormatPr baseColWidth="10" defaultRowHeight="22" x14ac:dyDescent="0.3"/>
  <cols>
    <col min="1" max="1" width="10.83203125" style="2"/>
    <col min="2" max="2" width="7.83203125" style="2" bestFit="1" customWidth="1"/>
    <col min="3" max="3" width="25" style="2" customWidth="1"/>
    <col min="4" max="4" width="19.5" style="3" customWidth="1"/>
    <col min="5" max="5" width="19.1640625" style="4" customWidth="1"/>
  </cols>
  <sheetData>
    <row r="1" spans="1:5" ht="23" thickBot="1" x14ac:dyDescent="0.35">
      <c r="A1" s="12" t="s">
        <v>10</v>
      </c>
      <c r="B1" s="13" t="s">
        <v>11</v>
      </c>
      <c r="C1" s="13" t="s">
        <v>4</v>
      </c>
      <c r="D1" s="14" t="s">
        <v>5</v>
      </c>
      <c r="E1" s="15" t="s">
        <v>6</v>
      </c>
    </row>
    <row r="2" spans="1:5" x14ac:dyDescent="0.3">
      <c r="A2" s="16">
        <v>45444</v>
      </c>
      <c r="B2" s="19"/>
      <c r="C2" s="8"/>
      <c r="D2" s="6"/>
      <c r="E2" s="7"/>
    </row>
    <row r="3" spans="1:5" x14ac:dyDescent="0.3">
      <c r="A3" s="16">
        <v>45444</v>
      </c>
      <c r="B3" s="20"/>
      <c r="C3" s="5"/>
      <c r="D3" s="6"/>
      <c r="E3" s="7"/>
    </row>
    <row r="4" spans="1:5" x14ac:dyDescent="0.3">
      <c r="A4" s="16">
        <v>45444</v>
      </c>
      <c r="B4" s="19"/>
      <c r="C4" s="8"/>
      <c r="D4" s="6"/>
      <c r="E4" s="7"/>
    </row>
    <row r="5" spans="1:5" x14ac:dyDescent="0.3">
      <c r="A5" s="16">
        <v>45444</v>
      </c>
      <c r="B5" s="20"/>
      <c r="C5" s="5"/>
      <c r="D5" s="6"/>
      <c r="E5" s="7"/>
    </row>
    <row r="6" spans="1:5" x14ac:dyDescent="0.3">
      <c r="A6" s="16">
        <v>45444</v>
      </c>
      <c r="B6" s="19"/>
      <c r="C6" s="8"/>
      <c r="D6" s="6"/>
      <c r="E6" s="7"/>
    </row>
    <row r="7" spans="1:5" x14ac:dyDescent="0.3">
      <c r="A7" s="16">
        <v>45444</v>
      </c>
      <c r="B7" s="20"/>
      <c r="C7" s="5"/>
      <c r="D7" s="6"/>
      <c r="E7" s="7"/>
    </row>
    <row r="8" spans="1:5" x14ac:dyDescent="0.3">
      <c r="A8" s="16">
        <v>45444</v>
      </c>
      <c r="B8" s="19"/>
      <c r="C8" s="8"/>
      <c r="D8" s="6"/>
      <c r="E8" s="7"/>
    </row>
    <row r="9" spans="1:5" x14ac:dyDescent="0.3">
      <c r="A9" s="16">
        <v>45444</v>
      </c>
      <c r="B9" s="20"/>
      <c r="C9" s="5"/>
      <c r="D9" s="6"/>
      <c r="E9" s="7"/>
    </row>
    <row r="10" spans="1:5" x14ac:dyDescent="0.3">
      <c r="A10" s="16">
        <v>45444</v>
      </c>
      <c r="B10" s="19"/>
      <c r="C10" s="8"/>
      <c r="D10" s="6"/>
      <c r="E10" s="7"/>
    </row>
    <row r="11" spans="1:5" x14ac:dyDescent="0.3">
      <c r="A11" s="16">
        <v>45444</v>
      </c>
      <c r="B11" s="20"/>
      <c r="C11" s="5"/>
      <c r="D11" s="6"/>
      <c r="E11" s="7"/>
    </row>
    <row r="12" spans="1:5" x14ac:dyDescent="0.3">
      <c r="A12" s="16">
        <v>45444</v>
      </c>
      <c r="B12" s="19"/>
      <c r="C12" s="8"/>
      <c r="D12" s="6"/>
      <c r="E12" s="7"/>
    </row>
    <row r="13" spans="1:5" x14ac:dyDescent="0.3">
      <c r="B13" s="20"/>
      <c r="C13" s="5"/>
      <c r="D13" s="6"/>
      <c r="E13" s="7"/>
    </row>
    <row r="14" spans="1:5" x14ac:dyDescent="0.3">
      <c r="B14" s="19"/>
      <c r="C14" s="8"/>
      <c r="D14" s="6"/>
      <c r="E14" s="7"/>
    </row>
    <row r="15" spans="1:5" x14ac:dyDescent="0.3">
      <c r="B15" s="20"/>
      <c r="C15" s="5"/>
      <c r="D15" s="6"/>
      <c r="E15" s="7"/>
    </row>
    <row r="16" spans="1:5" x14ac:dyDescent="0.3">
      <c r="B16" s="19"/>
      <c r="C16" s="8"/>
      <c r="D16" s="6"/>
      <c r="E16" s="7"/>
    </row>
    <row r="17" spans="2:5" x14ac:dyDescent="0.3">
      <c r="B17" s="20"/>
      <c r="C17" s="5"/>
      <c r="D17" s="6"/>
      <c r="E17" s="7"/>
    </row>
    <row r="18" spans="2:5" x14ac:dyDescent="0.3">
      <c r="B18" s="19"/>
      <c r="C18" s="8"/>
      <c r="D18" s="6"/>
      <c r="E18" s="7"/>
    </row>
    <row r="19" spans="2:5" x14ac:dyDescent="0.3">
      <c r="B19" s="20"/>
      <c r="C19" s="5"/>
      <c r="D19" s="6"/>
      <c r="E19" s="7"/>
    </row>
    <row r="20" spans="2:5" x14ac:dyDescent="0.3">
      <c r="B20" s="19"/>
      <c r="C20" s="8"/>
      <c r="D20" s="6"/>
      <c r="E20" s="7"/>
    </row>
    <row r="21" spans="2:5" x14ac:dyDescent="0.3">
      <c r="B21" s="20"/>
      <c r="C21" s="5"/>
      <c r="D21" s="6"/>
      <c r="E21" s="7"/>
    </row>
    <row r="22" spans="2:5" x14ac:dyDescent="0.3">
      <c r="B22" s="19"/>
      <c r="C22" s="8"/>
      <c r="D22" s="6"/>
      <c r="E22" s="7"/>
    </row>
    <row r="23" spans="2:5" x14ac:dyDescent="0.3">
      <c r="B23" s="20"/>
      <c r="C23" s="5"/>
      <c r="D23" s="6"/>
      <c r="E23" s="7"/>
    </row>
    <row r="24" spans="2:5" x14ac:dyDescent="0.3">
      <c r="B24" s="19"/>
      <c r="C24" s="8"/>
      <c r="D24" s="6"/>
      <c r="E24" s="7"/>
    </row>
    <row r="25" spans="2:5" x14ac:dyDescent="0.3">
      <c r="B25" s="20"/>
      <c r="C25" s="5"/>
      <c r="D25" s="6"/>
      <c r="E25" s="7"/>
    </row>
    <row r="26" spans="2:5" x14ac:dyDescent="0.3">
      <c r="B26" s="19"/>
      <c r="C26" s="8"/>
      <c r="D26" s="6"/>
      <c r="E26" s="7"/>
    </row>
    <row r="27" spans="2:5" x14ac:dyDescent="0.3">
      <c r="B27" s="20"/>
      <c r="C27" s="5"/>
      <c r="D27" s="6"/>
      <c r="E27" s="7"/>
    </row>
    <row r="28" spans="2:5" x14ac:dyDescent="0.3">
      <c r="B28" s="19"/>
      <c r="C28" s="8"/>
      <c r="D28" s="6"/>
      <c r="E28" s="7"/>
    </row>
    <row r="29" spans="2:5" x14ac:dyDescent="0.3">
      <c r="B29" s="20"/>
      <c r="C29" s="5"/>
      <c r="D29" s="6"/>
      <c r="E29" s="7"/>
    </row>
    <row r="30" spans="2:5" x14ac:dyDescent="0.3">
      <c r="B30" s="19"/>
      <c r="C30" s="8"/>
      <c r="D30" s="6"/>
      <c r="E30" s="7"/>
    </row>
    <row r="31" spans="2:5" x14ac:dyDescent="0.3">
      <c r="B31" s="20"/>
      <c r="C31" s="5"/>
      <c r="D31" s="6"/>
      <c r="E31" s="7"/>
    </row>
    <row r="32" spans="2:5" x14ac:dyDescent="0.3">
      <c r="B32" s="19"/>
      <c r="C32" s="8"/>
      <c r="D32" s="6"/>
      <c r="E32" s="7"/>
    </row>
    <row r="33" spans="1:5" x14ac:dyDescent="0.3">
      <c r="B33" s="20"/>
      <c r="C33" s="5"/>
      <c r="D33" s="6"/>
      <c r="E33" s="7"/>
    </row>
    <row r="34" spans="1:5" x14ac:dyDescent="0.3">
      <c r="B34" s="19"/>
      <c r="C34" s="8"/>
      <c r="D34" s="6"/>
      <c r="E34" s="7"/>
    </row>
    <row r="35" spans="1:5" x14ac:dyDescent="0.3">
      <c r="B35" s="20"/>
      <c r="C35" s="5"/>
      <c r="D35" s="6"/>
      <c r="E35" s="7"/>
    </row>
    <row r="36" spans="1:5" x14ac:dyDescent="0.3">
      <c r="B36" s="19"/>
      <c r="C36" s="8"/>
      <c r="D36" s="6"/>
      <c r="E36" s="7"/>
    </row>
    <row r="37" spans="1:5" x14ac:dyDescent="0.3">
      <c r="B37" s="20"/>
      <c r="C37" s="5"/>
      <c r="D37" s="6"/>
      <c r="E37" s="7"/>
    </row>
    <row r="38" spans="1:5" x14ac:dyDescent="0.3">
      <c r="B38" s="19"/>
      <c r="C38" s="8"/>
      <c r="D38" s="6"/>
      <c r="E38" s="7"/>
    </row>
    <row r="39" spans="1:5" ht="23" thickBot="1" x14ac:dyDescent="0.35">
      <c r="B39" s="20"/>
      <c r="C39" s="5"/>
      <c r="D39" s="6"/>
      <c r="E39" s="7"/>
    </row>
    <row r="40" spans="1:5" s="1" customFormat="1" ht="23" thickBot="1" x14ac:dyDescent="0.35">
      <c r="A40" s="17" t="s">
        <v>9</v>
      </c>
      <c r="B40" s="18"/>
      <c r="C40" s="9">
        <f>'Jodine Cash Savings'!$E$40-'Jodine Cash Savings'!$D$40</f>
        <v>0</v>
      </c>
      <c r="D40" s="10">
        <f>SUBTOTAL(109,'Jodine Cash Savings'!$D$2:$D$39)</f>
        <v>0</v>
      </c>
      <c r="E40" s="11">
        <f>SUBTOTAL(109,'Jodine Cash Savings'!$E$2:$E$39)</f>
        <v>0</v>
      </c>
    </row>
    <row r="41" spans="1:5" ht="23" thickTop="1" x14ac:dyDescent="0.3"/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Jodine Cash</vt:lpstr>
      <vt:lpstr>Jodine Cash Savings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2024-06-30T11:03:41Z</dcterms:modified>
</cp:coreProperties>
</file>