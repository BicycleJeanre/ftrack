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D8EFF33D-2BA1-7347-B6B7-3954C5F13473}" xr6:coauthVersionLast="47" xr6:coauthVersionMax="47" xr10:uidLastSave="{00000000-0000-0000-0000-000000000000}"/>
  <bookViews>
    <workbookView xWindow="0" yWindow="500" windowWidth="35840" windowHeight="21900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5" i="21"/>
  <c r="E5" i="21"/>
  <c r="F5" i="21"/>
  <c r="G5" i="21"/>
  <c r="H5" i="21"/>
  <c r="I5" i="21"/>
  <c r="J5" i="21"/>
  <c r="C5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C8" i="12"/>
  <c r="E6" i="19"/>
  <c r="F6" i="19"/>
  <c r="G6" i="19"/>
  <c r="H6" i="19"/>
  <c r="I6" i="19"/>
  <c r="J6" i="19"/>
  <c r="D6" i="19"/>
  <c r="C6" i="19"/>
  <c r="C32" i="11"/>
  <c r="J32" i="11"/>
  <c r="I32" i="11"/>
  <c r="H32" i="11"/>
  <c r="G32" i="11"/>
  <c r="F32" i="11"/>
  <c r="E32" i="11"/>
  <c r="D32" i="11"/>
</calcChain>
</file>

<file path=xl/sharedStrings.xml><?xml version="1.0" encoding="utf-8"?>
<sst xmlns="http://schemas.openxmlformats.org/spreadsheetml/2006/main" count="275" uniqueCount="90">
  <si>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</si>
  <si>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</si>
  <si>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</si>
  <si>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</si>
  <si>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</si>
  <si>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</si>
  <si>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</si>
  <si>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</si>
  <si>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</si>
  <si>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</si>
  <si>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</si>
  <si>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</si>
  <si>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</si>
  <si>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</si>
  <si>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</si>
  <si>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</si>
  <si>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</si>
  <si>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</si>
  <si>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</si>
  <si>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</si>
  <si>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</si>
  <si>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</si>
  <si>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</si>
  <si>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</si>
  <si>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</si>
  <si>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</si>
  <si>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</si>
  <si>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</si>
  <si>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</si>
  <si>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</si>
  <si>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</si>
  <si>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</si>
  <si>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</si>
  <si>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</si>
  <si>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</si>
  <si>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</si>
  <si>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</si>
  <si>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</si>
  <si>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</si>
  <si>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</si>
  <si>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</si>
  <si>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</si>
  <si>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</si>
  <si>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</si>
  <si>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</si>
  <si>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</si>
  <si>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</si>
  <si>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</si>
  <si>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</si>
  <si>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</si>
  <si>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</si>
  <si>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</si>
  <si>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</si>
  <si>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</si>
  <si>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</si>
  <si>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</si>
  <si>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</si>
  <si>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</si>
  <si>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</si>
  <si>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</si>
  <si>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</si>
  <si>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</si>
  <si>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</si>
  <si>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</si>
  <si>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</si>
  <si>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</si>
  <si>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</si>
  <si>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</si>
  <si>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</si>
  <si>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</si>
  <si>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</si>
  <si>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</si>
  <si>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</si>
  <si>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</si>
  <si>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</si>
  <si>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</si>
  <si>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</si>
  <si>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</si>
  <si>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</si>
  <si>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</si>
  <si>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</si>
  <si>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</si>
  <si>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</si>
  <si>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</si>
  <si>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</si>
  <si>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</si>
  <si>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</si>
  <si>
    <t>Tax Refund</t>
  </si>
  <si>
    <t>Vape</t>
  </si>
  <si>
    <t>Gaming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</si>
</sst>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color rgb="FF7030A0"/>
      <name val="Aptos Narrow"/>
      <scheme val="minor"/>
    </font>
    <font>
      <b/>
      <sz val="16"/>
      <color rgb="FFFFFF00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44" fontId="18" fillId="2" borderId="0" xfId="0" applyNumberFormat="1" applyFont="1" applyFill="1"/>
    <xf numFmtId="44" fontId="18" fillId="3" borderId="0" xfId="0" applyNumberFormat="1" applyFont="1" applyFill="1"/>
    <xf numFmtId="44" fontId="18" fillId="10" borderId="0" xfId="0" applyNumberFormat="1" applyFont="1" applyFill="1"/>
    <xf numFmtId="44" fontId="19" fillId="3" borderId="0" xfId="0" applyNumberFormat="1" applyFont="1" applyFill="1"/>
    <xf numFmtId="0" fontId="9" fillId="5" borderId="0" xfId="0" applyFont="1" applyFill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2" totalsRowCount="1" headerRowDxfId="221" dataDxfId="220">
  <autoFilter ref="A1:J31" xr:uid="{92565AF6-51CB-F740-ACD0-AD376C5F8FE0}"/>
  <tableColumns count="10">
    <tableColumn id="5" xr3:uid="{8651B483-0F4C-9745-8034-DD83AE8DA141}" name="Movement" totalsRowLabel="Subtotal" dataDxfId="219" totalsRowDxfId="9"/>
    <tableColumn id="6" xr3:uid="{2F7AE88F-4B40-4240-BF3E-94BC56EB2208}" name="Account Secondary" totalsRowLabel="Jeanre Transactional" dataDxfId="218" totalsRowDxfId="8"/>
    <tableColumn id="7" xr3:uid="{ADA98953-117B-F145-A74B-A985F167B6BC}" name="2024-05-01" totalsRowFunction="custom" dataDxfId="217" totalsRowDxfId="7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6" totalsRowDxfId="6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5" totalsRowDxfId="5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14" totalsRowDxfId="4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13" totalsRowDxfId="3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12" totalsRowDxfId="2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11" totalsRowDxfId="1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10" totalsRowDxfId="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209" dataDxfId="208">
  <autoFilter ref="A1:J10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6" totalsRowShown="0" headerRowDxfId="197" dataDxfId="196">
  <autoFilter ref="A1:J6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5" totalsRowShown="0" headerRowDxfId="185" dataDxfId="184">
  <autoFilter ref="A1:J5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8" totalsRowCount="1" headerRowDxfId="103" dataDxfId="102">
  <autoFilter ref="A1:AH7" xr:uid="{92565AF6-51CB-F740-ACD0-AD376C5F8FE0}"/>
  <tableColumns count="34">
    <tableColumn id="1" xr3:uid="{132F1BF4-3588-8A4B-8F98-DB76AAE601DC}" name="Movement" totalsRowLabel="Subtotal" dataDxfId="101" totalsRowDxfId="100"/>
    <tableColumn id="6" xr3:uid="{81ACCF9B-B060-EC46-8372-B215BC3E24E6}" name="Account Secondary" totalsRowLabel="Jodine U" dataDxfId="99" totalsRowDxfId="98"/>
    <tableColumn id="7" xr3:uid="{984BE13D-B3F0-4141-8171-AF453C2EDE3E}" name="2024-05-01" totalsRowFunction="custom" dataDxfId="97" totalsRowDxfId="96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5" totalsRowDxfId="94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3" totalsRowDxfId="92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1" totalsRowDxfId="90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89" totalsRowDxfId="88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87" totalsRowDxfId="8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85" totalsRowDxfId="84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83" totalsRowDxfId="82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81" totalsRowDxfId="80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79" totalsRowDxfId="78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77" totalsRowDxfId="76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75" totalsRowDxfId="74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73" totalsRowDxfId="72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71" totalsRowDxfId="70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69" totalsRowDxfId="68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67" totalsRowDxfId="6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65" totalsRowDxfId="64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63" totalsRowDxfId="62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61" totalsRowDxfId="60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59" totalsRowDxfId="58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57" totalsRowDxfId="56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55" totalsRowDxfId="54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53" totalsRowDxfId="52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51" totalsRowDxfId="50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49" totalsRowDxfId="48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47" totalsRowDxfId="4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45" totalsRowDxfId="44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43" totalsRowDxfId="42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41" totalsRowDxfId="40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39" totalsRowDxfId="38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37" totalsRowDxfId="36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35" totalsRowDxfId="34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33" tableBorderDxfId="32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31" dataDxfId="30">
  <autoFilter ref="A1:J8" xr:uid="{92565AF6-51CB-F740-ACD0-AD376C5F8FE0}"/>
  <tableColumns count="10">
    <tableColumn id="5" xr3:uid="{06CF438D-1451-314D-9C7A-32F80F032CDD}" name="Movement" totalsRowLabel="Subtotal" dataDxfId="29" totalsRowDxfId="28"/>
    <tableColumn id="6" xr3:uid="{D85B60B0-DD6D-9B4D-A4AD-5C8378063533}" name="Account Secondary" totalsRowLabel="Personal Wealth" dataDxfId="27" totalsRowDxfId="26"/>
    <tableColumn id="7" xr3:uid="{1DFF1C23-E2EA-B34F-AE16-2538AE6684FC}" name="2024-05-01" totalsRowFunction="custom" dataDxfId="25" totalsRowDxfId="24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23" totalsRowDxfId="22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21" totalsRowDxfId="20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19" totalsRowDxfId="18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17" totalsRowDxfId="16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15" totalsRowDxfId="14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13" totalsRowDxfId="12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11" totalsRowDxfId="10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32"/>
  <sheetViews>
    <sheetView showGridLines="0" tabSelected="1" workbookViewId="0">
      <selection activeCell="M12" sqref="M12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5" width="15.1640625" style="1" hidden="1" customWidth="1"/>
    <col min="6" max="6" width="15.1640625" hidden="1" customWidth="1"/>
    <col min="7" max="11" width="15.1640625" bestFit="1" customWidth="1"/>
  </cols>
  <sheetData>
    <row r="1" spans="1:11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1" s="2" customFormat="1" ht="22" x14ac:dyDescent="0.3">
      <c r="A2" s="44" t="s">
        <v>50</v>
      </c>
      <c r="B2" s="44" t="s">
        <v>37</v>
      </c>
      <c r="C2" s="24">
        <v>27000</v>
      </c>
      <c r="D2" s="24">
        <v>27000</v>
      </c>
      <c r="E2" s="56">
        <v>21600</v>
      </c>
      <c r="F2" s="24">
        <v>21600</v>
      </c>
      <c r="G2" s="24">
        <v>21600</v>
      </c>
      <c r="H2" s="24">
        <v>21600</v>
      </c>
      <c r="I2" s="24">
        <v>21600</v>
      </c>
      <c r="J2" s="24">
        <v>21600</v>
      </c>
    </row>
    <row r="3" spans="1:11" s="2" customFormat="1" ht="22" x14ac:dyDescent="0.3">
      <c r="A3" s="44" t="s">
        <v>50</v>
      </c>
      <c r="B3" s="44" t="s">
        <v>78</v>
      </c>
      <c r="C3" s="24">
        <v>1325</v>
      </c>
      <c r="D3" s="24">
        <v>1325</v>
      </c>
      <c r="E3" s="24">
        <v>1325</v>
      </c>
      <c r="F3" s="24">
        <v>1325</v>
      </c>
      <c r="G3" s="24">
        <v>1325</v>
      </c>
      <c r="H3" s="24">
        <v>1000</v>
      </c>
      <c r="I3" s="24">
        <v>1000</v>
      </c>
      <c r="J3" s="24">
        <v>1000</v>
      </c>
    </row>
    <row r="4" spans="1:11" s="2" customFormat="1" ht="22" x14ac:dyDescent="0.3">
      <c r="A4" s="55" t="s">
        <v>50</v>
      </c>
      <c r="B4" s="55" t="s">
        <v>36</v>
      </c>
      <c r="C4" s="24"/>
      <c r="D4" s="24"/>
      <c r="E4" s="24"/>
      <c r="F4" s="24">
        <v>750</v>
      </c>
      <c r="G4" s="24">
        <v>1250</v>
      </c>
      <c r="H4" s="24">
        <v>1250</v>
      </c>
      <c r="I4" s="24">
        <v>1250</v>
      </c>
      <c r="J4" s="24">
        <v>1250</v>
      </c>
    </row>
    <row r="5" spans="1:11" s="2" customFormat="1" ht="22" x14ac:dyDescent="0.3">
      <c r="A5" s="55" t="s">
        <v>50</v>
      </c>
      <c r="B5" s="55" t="s">
        <v>87</v>
      </c>
      <c r="C5" s="24"/>
      <c r="D5" s="24"/>
      <c r="E5" s="24"/>
      <c r="F5" s="24"/>
      <c r="G5" s="24"/>
      <c r="H5" s="24">
        <v>5700</v>
      </c>
      <c r="I5" s="24"/>
      <c r="J5" s="24"/>
    </row>
    <row r="6" spans="1:11" s="2" customFormat="1" ht="22" x14ac:dyDescent="0.3">
      <c r="A6" s="44" t="s">
        <v>50</v>
      </c>
      <c r="B6" s="44" t="s">
        <v>16</v>
      </c>
      <c r="C6" s="24">
        <v>7700</v>
      </c>
      <c r="D6" s="24">
        <v>7700</v>
      </c>
      <c r="E6" s="56">
        <v>7000</v>
      </c>
      <c r="F6" s="24">
        <v>6800</v>
      </c>
      <c r="G6" s="24">
        <v>7000</v>
      </c>
      <c r="H6" s="24">
        <v>7000</v>
      </c>
      <c r="I6" s="24">
        <v>7000</v>
      </c>
      <c r="J6" s="24">
        <v>7000</v>
      </c>
    </row>
    <row r="7" spans="1:11" s="3" customFormat="1" ht="22" x14ac:dyDescent="0.3">
      <c r="A7" s="40" t="s">
        <v>51</v>
      </c>
      <c r="B7" s="40" t="s">
        <v>10</v>
      </c>
      <c r="C7" s="41">
        <v>500</v>
      </c>
      <c r="D7" s="41">
        <v>1500</v>
      </c>
      <c r="E7" s="57">
        <v>250</v>
      </c>
      <c r="F7" s="41">
        <v>500</v>
      </c>
      <c r="G7" s="41">
        <v>500</v>
      </c>
      <c r="H7" s="41">
        <v>1200</v>
      </c>
      <c r="I7" s="41">
        <v>1000</v>
      </c>
      <c r="J7" s="41">
        <v>1000</v>
      </c>
      <c r="K7" s="7"/>
    </row>
    <row r="8" spans="1:11" s="3" customFormat="1" ht="22" x14ac:dyDescent="0.3">
      <c r="A8" s="40" t="s">
        <v>51</v>
      </c>
      <c r="B8" s="40" t="s">
        <v>1</v>
      </c>
      <c r="C8" s="41">
        <v>8140</v>
      </c>
      <c r="D8" s="41">
        <v>8140</v>
      </c>
      <c r="E8" s="41">
        <v>8140</v>
      </c>
      <c r="F8" s="41">
        <v>8140</v>
      </c>
      <c r="G8" s="41">
        <v>8140</v>
      </c>
      <c r="H8" s="41">
        <v>8140</v>
      </c>
      <c r="I8" s="41">
        <v>8140</v>
      </c>
      <c r="J8" s="41">
        <v>8140</v>
      </c>
    </row>
    <row r="9" spans="1:11" s="3" customFormat="1" ht="22" x14ac:dyDescent="0.3">
      <c r="A9" s="40" t="s">
        <v>51</v>
      </c>
      <c r="B9" s="40" t="s">
        <v>2</v>
      </c>
      <c r="C9" s="41">
        <v>3500</v>
      </c>
      <c r="D9" s="41">
        <v>3578</v>
      </c>
      <c r="E9" s="57">
        <v>3578</v>
      </c>
      <c r="F9" s="41">
        <v>3578</v>
      </c>
      <c r="G9" s="41">
        <v>3578</v>
      </c>
      <c r="H9" s="41">
        <v>3578</v>
      </c>
      <c r="I9" s="41">
        <v>3578</v>
      </c>
      <c r="J9" s="41">
        <v>3578</v>
      </c>
    </row>
    <row r="10" spans="1:11" s="3" customFormat="1" ht="22" x14ac:dyDescent="0.3">
      <c r="A10" s="40" t="s">
        <v>51</v>
      </c>
      <c r="B10" s="40" t="s">
        <v>3</v>
      </c>
      <c r="C10" s="41">
        <v>3100</v>
      </c>
      <c r="D10" s="41">
        <v>1700</v>
      </c>
      <c r="E10" s="41">
        <v>1820</v>
      </c>
      <c r="F10" s="41">
        <v>1820</v>
      </c>
      <c r="G10" s="41">
        <v>0</v>
      </c>
      <c r="H10" s="41">
        <v>0</v>
      </c>
      <c r="I10" s="41">
        <v>0</v>
      </c>
      <c r="J10" s="41">
        <v>0</v>
      </c>
    </row>
    <row r="11" spans="1:11" s="39" customFormat="1" ht="22" x14ac:dyDescent="0.3">
      <c r="A11" s="40" t="s">
        <v>51</v>
      </c>
      <c r="B11" s="42" t="s">
        <v>4</v>
      </c>
      <c r="C11" s="38">
        <v>4530</v>
      </c>
      <c r="D11" s="38">
        <v>4530</v>
      </c>
      <c r="E11" s="38">
        <v>4530</v>
      </c>
      <c r="F11" s="38">
        <v>4530</v>
      </c>
      <c r="G11" s="38">
        <v>5600</v>
      </c>
      <c r="H11" s="38">
        <v>5100</v>
      </c>
      <c r="I11" s="38">
        <v>5100</v>
      </c>
      <c r="J11" s="38">
        <v>5100</v>
      </c>
    </row>
    <row r="12" spans="1:11" s="39" customFormat="1" ht="22" x14ac:dyDescent="0.3">
      <c r="A12" s="40" t="s">
        <v>51</v>
      </c>
      <c r="B12" s="40" t="s">
        <v>21</v>
      </c>
      <c r="C12" s="41">
        <v>110</v>
      </c>
      <c r="D12" s="41">
        <v>170</v>
      </c>
      <c r="E12" s="41">
        <v>170</v>
      </c>
      <c r="F12" s="41">
        <v>170</v>
      </c>
      <c r="G12" s="41">
        <v>170</v>
      </c>
      <c r="H12" s="41">
        <v>170</v>
      </c>
      <c r="I12" s="41">
        <v>170</v>
      </c>
      <c r="J12" s="41">
        <v>170</v>
      </c>
    </row>
    <row r="13" spans="1:11" s="39" customFormat="1" ht="22" x14ac:dyDescent="0.3">
      <c r="A13" s="40" t="s">
        <v>51</v>
      </c>
      <c r="B13" s="42" t="s">
        <v>5</v>
      </c>
      <c r="C13" s="38">
        <v>117</v>
      </c>
      <c r="D13" s="38">
        <v>117</v>
      </c>
      <c r="E13" s="38">
        <v>117</v>
      </c>
      <c r="F13" s="38">
        <v>117</v>
      </c>
      <c r="G13" s="38">
        <v>117</v>
      </c>
      <c r="H13" s="38">
        <v>117</v>
      </c>
      <c r="I13" s="38">
        <v>117</v>
      </c>
      <c r="J13" s="38">
        <v>117</v>
      </c>
    </row>
    <row r="14" spans="1:11" s="39" customFormat="1" ht="22" x14ac:dyDescent="0.3">
      <c r="A14" s="40" t="s">
        <v>51</v>
      </c>
      <c r="B14" s="40" t="s">
        <v>6</v>
      </c>
      <c r="C14" s="41">
        <v>1050</v>
      </c>
      <c r="D14" s="41">
        <v>988</v>
      </c>
      <c r="E14" s="57">
        <v>988</v>
      </c>
      <c r="F14" s="41">
        <v>988</v>
      </c>
      <c r="G14" s="41">
        <v>988</v>
      </c>
      <c r="H14" s="41">
        <v>988</v>
      </c>
      <c r="I14" s="41">
        <v>988</v>
      </c>
      <c r="J14" s="41">
        <v>988</v>
      </c>
    </row>
    <row r="15" spans="1:11" s="39" customFormat="1" ht="22" x14ac:dyDescent="0.3">
      <c r="A15" s="40" t="s">
        <v>51</v>
      </c>
      <c r="B15" s="42" t="s">
        <v>7</v>
      </c>
      <c r="C15" s="38">
        <v>1200</v>
      </c>
      <c r="D15" s="38">
        <v>560</v>
      </c>
      <c r="E15" s="38">
        <v>560</v>
      </c>
      <c r="F15" s="38">
        <v>560</v>
      </c>
      <c r="G15" s="38">
        <v>560</v>
      </c>
      <c r="H15" s="38">
        <v>560</v>
      </c>
      <c r="I15" s="38">
        <v>610</v>
      </c>
      <c r="J15" s="38">
        <v>610</v>
      </c>
    </row>
    <row r="16" spans="1:11" s="39" customFormat="1" ht="22" x14ac:dyDescent="0.3">
      <c r="A16" s="40" t="s">
        <v>51</v>
      </c>
      <c r="B16" s="40" t="s">
        <v>8</v>
      </c>
      <c r="C16" s="41">
        <v>440</v>
      </c>
      <c r="D16" s="41">
        <v>440</v>
      </c>
      <c r="E16" s="41">
        <v>440</v>
      </c>
      <c r="F16" s="41">
        <v>440</v>
      </c>
      <c r="G16" s="41">
        <v>440</v>
      </c>
      <c r="H16" s="41">
        <v>440</v>
      </c>
      <c r="I16" s="41">
        <v>440</v>
      </c>
      <c r="J16" s="41">
        <v>440</v>
      </c>
    </row>
    <row r="17" spans="1:10" s="39" customFormat="1" ht="22" x14ac:dyDescent="0.3">
      <c r="A17" s="40" t="s">
        <v>51</v>
      </c>
      <c r="B17" s="40" t="s">
        <v>15</v>
      </c>
      <c r="C17" s="41">
        <v>600</v>
      </c>
      <c r="D17" s="41">
        <v>600</v>
      </c>
      <c r="E17" s="41">
        <v>0</v>
      </c>
      <c r="F17" s="41">
        <v>0</v>
      </c>
      <c r="G17" s="41">
        <v>0</v>
      </c>
      <c r="H17" s="41">
        <v>0</v>
      </c>
      <c r="I17" s="41">
        <v>0</v>
      </c>
      <c r="J17" s="41">
        <v>0</v>
      </c>
    </row>
    <row r="18" spans="1:10" s="39" customFormat="1" ht="22" x14ac:dyDescent="0.3">
      <c r="A18" s="40" t="s">
        <v>51</v>
      </c>
      <c r="B18" s="42" t="s">
        <v>13</v>
      </c>
      <c r="C18" s="38">
        <v>3500</v>
      </c>
      <c r="D18" s="38">
        <v>3500</v>
      </c>
      <c r="E18" s="58">
        <v>3500</v>
      </c>
      <c r="F18" s="38">
        <v>3500</v>
      </c>
      <c r="G18" s="38">
        <v>3500</v>
      </c>
      <c r="H18" s="38">
        <v>4500</v>
      </c>
      <c r="I18" s="38">
        <v>4000</v>
      </c>
      <c r="J18" s="38">
        <v>4000</v>
      </c>
    </row>
    <row r="19" spans="1:10" s="39" customFormat="1" ht="22" x14ac:dyDescent="0.3">
      <c r="A19" s="40" t="s">
        <v>51</v>
      </c>
      <c r="B19" s="40" t="s">
        <v>47</v>
      </c>
      <c r="C19" s="41">
        <v>1000</v>
      </c>
      <c r="D19" s="41">
        <v>1000</v>
      </c>
      <c r="E19" s="57">
        <v>1000</v>
      </c>
      <c r="F19" s="41">
        <v>1000</v>
      </c>
      <c r="G19" s="41">
        <v>1000</v>
      </c>
      <c r="H19" s="41">
        <v>1000</v>
      </c>
      <c r="I19" s="41">
        <v>1000</v>
      </c>
      <c r="J19" s="41">
        <v>1000</v>
      </c>
    </row>
    <row r="20" spans="1:10" s="39" customFormat="1" ht="22" x14ac:dyDescent="0.3">
      <c r="A20" s="40" t="s">
        <v>51</v>
      </c>
      <c r="B20" s="42" t="s">
        <v>14</v>
      </c>
      <c r="C20" s="38">
        <v>1000</v>
      </c>
      <c r="D20" s="38">
        <v>1500</v>
      </c>
      <c r="E20" s="58">
        <v>250</v>
      </c>
      <c r="F20" s="38">
        <v>500</v>
      </c>
      <c r="G20" s="38">
        <v>900</v>
      </c>
      <c r="H20" s="38">
        <v>300</v>
      </c>
      <c r="I20" s="38">
        <v>300</v>
      </c>
      <c r="J20" s="38">
        <v>300</v>
      </c>
    </row>
    <row r="21" spans="1:10" s="39" customFormat="1" ht="22" x14ac:dyDescent="0.3">
      <c r="A21" s="40" t="s">
        <v>51</v>
      </c>
      <c r="B21" s="40" t="s">
        <v>79</v>
      </c>
      <c r="C21" s="41">
        <v>5000</v>
      </c>
      <c r="D21" s="41">
        <v>4300</v>
      </c>
      <c r="E21" s="41">
        <v>3000</v>
      </c>
      <c r="F21" s="41">
        <v>3500</v>
      </c>
      <c r="G21" s="41">
        <v>3200</v>
      </c>
      <c r="H21" s="41">
        <v>3500</v>
      </c>
      <c r="I21" s="41">
        <v>3500</v>
      </c>
      <c r="J21" s="41">
        <v>3500</v>
      </c>
    </row>
    <row r="22" spans="1:10" s="39" customFormat="1" ht="22" x14ac:dyDescent="0.3">
      <c r="A22" s="40" t="s">
        <v>51</v>
      </c>
      <c r="B22" s="40" t="s">
        <v>48</v>
      </c>
      <c r="C22" s="41">
        <v>0</v>
      </c>
      <c r="D22" s="41">
        <v>0</v>
      </c>
      <c r="E22" s="41">
        <v>0</v>
      </c>
      <c r="F22" s="41">
        <v>0</v>
      </c>
      <c r="G22" s="41">
        <v>0</v>
      </c>
      <c r="H22" s="41">
        <v>0</v>
      </c>
      <c r="I22" s="41">
        <v>0</v>
      </c>
      <c r="J22" s="41">
        <v>0</v>
      </c>
    </row>
    <row r="23" spans="1:10" s="3" customFormat="1" ht="22" x14ac:dyDescent="0.3">
      <c r="A23" s="40" t="s">
        <v>51</v>
      </c>
      <c r="B23" s="40" t="s">
        <v>36</v>
      </c>
      <c r="C23" s="41">
        <v>500</v>
      </c>
      <c r="D23" s="41">
        <v>200</v>
      </c>
      <c r="E23" s="41"/>
      <c r="F23" s="41">
        <v>0</v>
      </c>
      <c r="G23" s="41">
        <v>0</v>
      </c>
      <c r="H23" s="41">
        <v>0</v>
      </c>
      <c r="I23" s="41">
        <v>0</v>
      </c>
      <c r="J23" s="41">
        <v>0</v>
      </c>
    </row>
    <row r="24" spans="1:10" s="3" customFormat="1" ht="22" x14ac:dyDescent="0.3">
      <c r="A24" s="40" t="s">
        <v>51</v>
      </c>
      <c r="B24" s="42" t="s">
        <v>25</v>
      </c>
      <c r="C24" s="38">
        <v>1000</v>
      </c>
      <c r="D24" s="38">
        <v>1000</v>
      </c>
      <c r="E24" s="38">
        <v>0</v>
      </c>
      <c r="F24" s="38"/>
      <c r="G24" s="38">
        <v>500</v>
      </c>
      <c r="H24" s="38">
        <v>750</v>
      </c>
      <c r="I24" s="38">
        <v>750</v>
      </c>
      <c r="J24" s="38">
        <v>750</v>
      </c>
    </row>
    <row r="25" spans="1:10" s="3" customFormat="1" ht="22" x14ac:dyDescent="0.3">
      <c r="A25" s="40" t="s">
        <v>51</v>
      </c>
      <c r="B25" s="42" t="s">
        <v>46</v>
      </c>
      <c r="C25" s="38">
        <v>200</v>
      </c>
      <c r="D25" s="38">
        <v>200</v>
      </c>
      <c r="E25" s="58">
        <v>200</v>
      </c>
      <c r="F25" s="38">
        <v>200</v>
      </c>
      <c r="G25" s="38">
        <v>200</v>
      </c>
      <c r="H25" s="38">
        <v>200</v>
      </c>
      <c r="I25" s="38">
        <v>200</v>
      </c>
      <c r="J25" s="38">
        <v>200</v>
      </c>
    </row>
    <row r="26" spans="1:10" s="3" customFormat="1" ht="22" x14ac:dyDescent="0.3">
      <c r="A26" s="40" t="s">
        <v>51</v>
      </c>
      <c r="B26" s="42" t="s">
        <v>19</v>
      </c>
      <c r="C26" s="38">
        <v>0</v>
      </c>
      <c r="D26" s="38">
        <v>0</v>
      </c>
      <c r="E26" s="38">
        <v>0</v>
      </c>
      <c r="F26" s="38">
        <v>0</v>
      </c>
      <c r="G26" s="38">
        <v>0</v>
      </c>
      <c r="H26" s="38">
        <v>0</v>
      </c>
      <c r="I26" s="38">
        <v>0</v>
      </c>
      <c r="J26" s="38">
        <v>0</v>
      </c>
    </row>
    <row r="27" spans="1:10" s="3" customFormat="1" ht="22" x14ac:dyDescent="0.3">
      <c r="A27" s="43" t="s">
        <v>51</v>
      </c>
      <c r="B27" s="43" t="s">
        <v>81</v>
      </c>
      <c r="C27" s="41"/>
      <c r="D27" s="41"/>
      <c r="E27" s="57">
        <v>640</v>
      </c>
      <c r="F27" s="41">
        <v>0</v>
      </c>
      <c r="G27" s="41">
        <v>0</v>
      </c>
      <c r="H27" s="41">
        <v>0</v>
      </c>
      <c r="I27" s="41">
        <v>0</v>
      </c>
      <c r="J27" s="41">
        <v>0</v>
      </c>
    </row>
    <row r="28" spans="1:10" s="3" customFormat="1" ht="22" x14ac:dyDescent="0.3">
      <c r="A28" s="43" t="s">
        <v>51</v>
      </c>
      <c r="B28" s="43" t="s">
        <v>83</v>
      </c>
      <c r="C28" s="41"/>
      <c r="D28" s="41"/>
      <c r="E28" s="41">
        <v>600</v>
      </c>
      <c r="F28" s="41">
        <v>600</v>
      </c>
      <c r="G28" s="41"/>
      <c r="H28" s="41"/>
      <c r="I28" s="41"/>
      <c r="J28" s="41"/>
    </row>
    <row r="29" spans="1:10" s="3" customFormat="1" ht="22" x14ac:dyDescent="0.3">
      <c r="A29" s="43" t="s">
        <v>51</v>
      </c>
      <c r="B29" s="43" t="s">
        <v>85</v>
      </c>
      <c r="C29" s="41"/>
      <c r="D29" s="41"/>
      <c r="E29" s="41"/>
      <c r="F29" s="41">
        <v>500</v>
      </c>
      <c r="G29" s="41">
        <v>500</v>
      </c>
      <c r="H29" s="41"/>
      <c r="I29" s="41"/>
      <c r="J29" s="41"/>
    </row>
    <row r="30" spans="1:10" s="3" customFormat="1" ht="22" x14ac:dyDescent="0.3">
      <c r="A30" s="43" t="s">
        <v>51</v>
      </c>
      <c r="B30" s="43" t="s">
        <v>88</v>
      </c>
      <c r="C30" s="41"/>
      <c r="D30" s="41"/>
      <c r="E30" s="41"/>
      <c r="F30" s="41"/>
      <c r="G30" s="41"/>
      <c r="H30" s="41">
        <v>1000</v>
      </c>
      <c r="I30" s="41"/>
      <c r="J30" s="41"/>
    </row>
    <row r="31" spans="1:10" s="3" customFormat="1" ht="22" x14ac:dyDescent="0.3">
      <c r="A31" s="40" t="s">
        <v>51</v>
      </c>
      <c r="B31" s="40" t="s">
        <v>30</v>
      </c>
      <c r="C31" s="41">
        <v>0</v>
      </c>
      <c r="D31" s="41">
        <v>500</v>
      </c>
      <c r="E31" s="41"/>
      <c r="F31" s="41"/>
      <c r="G31" s="59">
        <v>1000</v>
      </c>
      <c r="H31" s="41">
        <v>5000</v>
      </c>
      <c r="I31" s="41">
        <v>500</v>
      </c>
      <c r="J31" s="41">
        <v>500</v>
      </c>
    </row>
    <row r="32" spans="1:10" ht="22" x14ac:dyDescent="0.3">
      <c r="A32" s="33" t="s">
        <v>77</v>
      </c>
      <c r="B32" s="33" t="s">
        <v>0</v>
      </c>
      <c r="C32" s="13">
        <f>SUMIF(Table32[[#Data],[#Totals],[Movement]],"Credit", Table32[[#Data],[#Totals],[2024-05-01]])-SUMIF(Table32[[#Data],[#Totals],[Movement]],"Debit", Table32[[#Data],[#Totals],[2024-05-01]])</f>
        <v>538</v>
      </c>
      <c r="D32" s="13">
        <f>SUMIF(Table32[[#Data],[#Totals],[Movement]],"Credit", Table32[[#Data],[#Totals],[2024-06-01]])-SUMIF(Table32[[#Data],[#Totals],[Movement]],"Debit", Table32[[#Data],[#Totals],[2024-06-01]])</f>
        <v>1502</v>
      </c>
      <c r="E32" s="13">
        <f>SUMIF(Table32[[#Data],[#Totals],[Movement]],"Credit", Table32[[#Data],[#Totals],[2024-07-01]])-SUMIF(Table32[[#Data],[#Totals],[Movement]],"Debit", Table32[[#Data],[#Totals],[2024-07-01]])</f>
        <v>142</v>
      </c>
      <c r="F32" s="13">
        <f>SUMIF(Table32[[#Data],[#Totals],[Movement]],"Credit", Table32[[#Data],[#Totals],[2024-08-01]])-SUMIF(Table32[[#Data],[#Totals],[Movement]],"Debit", Table32[[#Data],[#Totals],[2024-08-01]])</f>
        <v>-168</v>
      </c>
      <c r="G32" s="13">
        <f>SUMIF(Table32[[#Data],[#Totals],[Movement]],"Credit", Table32[[#Data],[#Totals],[2024-09-01]])-SUMIF(Table32[[#Data],[#Totals],[Movement]],"Debit", Table32[[#Data],[#Totals],[2024-09-01]])</f>
        <v>282</v>
      </c>
      <c r="H32" s="13">
        <f>SUMIF(Table32[[#Data],[#Totals],[Movement]],"Credit", Table32[[#Data],[#Totals],[2024-10-01]])-SUMIF(Table32[[#Data],[#Totals],[Movement]],"Debit", Table32[[#Data],[#Totals],[2024-10-01]])</f>
        <v>7</v>
      </c>
      <c r="I32" s="13">
        <f>SUMIF(Table32[[#Data],[#Totals],[Movement]],"Credit", Table32[[#Data],[#Totals],[2024-11-01]])-SUMIF(Table32[[#Data],[#Totals],[Movement]],"Debit", Table32[[#Data],[#Totals],[2024-11-01]])</f>
        <v>457</v>
      </c>
      <c r="J32" s="13">
        <f>SUMIF(Table32[[#Data],[#Totals],[Movement]],"Credit", Table32[[#Data],[#Totals],[2024-12-01]])-SUMIF(Table32[[#Data],[#Totals],[Movement]],"Debit", Table32[[#Data],[#Totals],[2024-12-01]])</f>
        <v>457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workbookViewId="0">
      <selection activeCell="M33" sqref="M33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6" width="15.1640625" hidden="1" customWidth="1"/>
    <col min="7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45" t="s">
        <v>50</v>
      </c>
      <c r="B2" s="45" t="s">
        <v>37</v>
      </c>
      <c r="C2" s="24">
        <v>11000</v>
      </c>
      <c r="D2" s="24">
        <v>11000</v>
      </c>
      <c r="E2" s="24">
        <v>8800</v>
      </c>
      <c r="F2" s="24">
        <v>8800</v>
      </c>
      <c r="G2" s="24">
        <v>8800</v>
      </c>
      <c r="H2" s="24">
        <v>8800</v>
      </c>
      <c r="I2" s="24">
        <v>8800</v>
      </c>
      <c r="J2" s="24">
        <v>8800</v>
      </c>
    </row>
    <row r="3" spans="1:10" s="3" customFormat="1" ht="22" x14ac:dyDescent="0.3">
      <c r="A3" s="40" t="s">
        <v>51</v>
      </c>
      <c r="B3" s="40" t="s">
        <v>9</v>
      </c>
      <c r="C3" s="41">
        <v>2000</v>
      </c>
      <c r="D3" s="41">
        <v>2000</v>
      </c>
      <c r="E3" s="41">
        <v>500</v>
      </c>
      <c r="F3" s="41">
        <v>500</v>
      </c>
      <c r="G3" s="41">
        <v>500</v>
      </c>
      <c r="H3" s="41">
        <v>500</v>
      </c>
      <c r="I3" s="41">
        <v>500</v>
      </c>
      <c r="J3" s="41">
        <v>500</v>
      </c>
    </row>
    <row r="4" spans="1:10" s="3" customFormat="1" ht="22" x14ac:dyDescent="0.3">
      <c r="A4" s="40" t="s">
        <v>51</v>
      </c>
      <c r="B4" s="42" t="s">
        <v>0</v>
      </c>
      <c r="C4" s="38">
        <v>7700</v>
      </c>
      <c r="D4" s="38">
        <v>7700</v>
      </c>
      <c r="E4" s="38">
        <v>7000</v>
      </c>
      <c r="F4" s="38">
        <v>6800</v>
      </c>
      <c r="G4" s="38">
        <v>7000</v>
      </c>
      <c r="H4" s="38">
        <v>7000</v>
      </c>
      <c r="I4" s="38">
        <v>7000</v>
      </c>
      <c r="J4" s="38">
        <v>7000</v>
      </c>
    </row>
    <row r="5" spans="1:10" s="39" customFormat="1" ht="22" x14ac:dyDescent="0.3">
      <c r="A5" s="40" t="s">
        <v>51</v>
      </c>
      <c r="B5" s="42" t="s">
        <v>22</v>
      </c>
      <c r="C5" s="38">
        <v>110</v>
      </c>
      <c r="D5" s="38">
        <v>110</v>
      </c>
      <c r="E5" s="38">
        <v>110</v>
      </c>
      <c r="F5" s="38">
        <v>110</v>
      </c>
      <c r="G5" s="38">
        <v>110</v>
      </c>
      <c r="H5" s="38">
        <v>110</v>
      </c>
      <c r="I5" s="38">
        <v>110</v>
      </c>
      <c r="J5" s="38">
        <v>110</v>
      </c>
    </row>
    <row r="6" spans="1:10" s="39" customFormat="1" ht="22" x14ac:dyDescent="0.3">
      <c r="A6" s="40" t="s">
        <v>51</v>
      </c>
      <c r="B6" s="37" t="s">
        <v>80</v>
      </c>
      <c r="C6" s="38">
        <v>900</v>
      </c>
      <c r="D6" s="38">
        <v>900</v>
      </c>
      <c r="E6" s="38">
        <v>900</v>
      </c>
      <c r="F6" s="38">
        <v>900</v>
      </c>
      <c r="G6" s="38">
        <v>900</v>
      </c>
      <c r="H6" s="38">
        <v>900</v>
      </c>
      <c r="I6" s="38">
        <v>900</v>
      </c>
      <c r="J6" s="38">
        <v>900</v>
      </c>
    </row>
    <row r="7" spans="1:10" s="3" customFormat="1" ht="22" x14ac:dyDescent="0.3">
      <c r="A7" s="40" t="s">
        <v>51</v>
      </c>
      <c r="B7" s="42" t="s">
        <v>18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</row>
    <row r="8" spans="1:10" s="3" customFormat="1" ht="22" x14ac:dyDescent="0.3">
      <c r="A8" s="40" t="s">
        <v>51</v>
      </c>
      <c r="B8" s="43" t="s">
        <v>86</v>
      </c>
      <c r="C8" s="41">
        <v>0</v>
      </c>
      <c r="D8" s="41">
        <v>200</v>
      </c>
      <c r="E8" s="41">
        <v>200</v>
      </c>
      <c r="F8" s="41">
        <v>200</v>
      </c>
      <c r="G8" s="41">
        <v>200</v>
      </c>
      <c r="H8" s="41">
        <v>200</v>
      </c>
      <c r="I8" s="41">
        <v>200</v>
      </c>
      <c r="J8" s="41">
        <v>200</v>
      </c>
    </row>
    <row r="9" spans="1:10" s="3" customFormat="1" ht="22" x14ac:dyDescent="0.3">
      <c r="A9" s="40" t="s">
        <v>51</v>
      </c>
      <c r="B9" s="40" t="s">
        <v>24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</row>
    <row r="10" spans="1:10" s="48" customFormat="1" ht="22" x14ac:dyDescent="0.3">
      <c r="A10" s="46" t="s">
        <v>77</v>
      </c>
      <c r="B10" s="46" t="s">
        <v>16</v>
      </c>
      <c r="C10" s="47">
        <f>SUMIF(Table325[[Movement]:[Movement]],"Credit", Table325[2024-05-01])-SUMIF(Table325[[Movement]:[Movement]],"Debit",Table325[2024-05-01])</f>
        <v>290</v>
      </c>
      <c r="D10" s="47">
        <f>SUMIF(Table325[[Movement]:[Movement]],"Credit", Table325[2024-06-01])-SUMIF(Table325[[Movement]:[Movement]],"Debit",Table325[2024-06-01])</f>
        <v>90</v>
      </c>
      <c r="E10" s="47">
        <f>SUMIF(Table325[[Movement]:[Movement]],"Credit", Table325[2024-07-01])-SUMIF(Table325[[Movement]:[Movement]],"Debit",Table325[2024-07-01])</f>
        <v>90</v>
      </c>
      <c r="F10" s="47">
        <f>SUMIF(Table325[[Movement]:[Movement]],"Credit", Table325[2024-08-01])-SUMIF(Table325[[Movement]:[Movement]],"Debit",Table325[2024-08-01])</f>
        <v>290</v>
      </c>
      <c r="G10" s="47">
        <f>SUMIF(Table325[[Movement]:[Movement]],"Credit", Table325[2024-09-01])-SUMIF(Table325[[Movement]:[Movement]],"Debit",Table325[2024-09-01])</f>
        <v>90</v>
      </c>
      <c r="H10" s="47">
        <f>SUMIF(Table325[[Movement]:[Movement]],"Credit", Table325[2024-10-01])-SUMIF(Table325[[Movement]:[Movement]],"Debit",Table325[2024-10-01])</f>
        <v>90</v>
      </c>
      <c r="I10" s="47">
        <f>SUMIF(Table325[[Movement]:[Movement]],"Credit", Table325[2024-11-01])-SUMIF(Table325[[Movement]:[Movement]],"Debit",Table325[2024-11-01])</f>
        <v>90</v>
      </c>
      <c r="J10" s="47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6"/>
  <sheetViews>
    <sheetView showGridLines="0" workbookViewId="0">
      <selection activeCell="Q25" sqref="Q2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6" width="15.1640625" hidden="1" customWidth="1"/>
    <col min="7" max="10" width="15.1640625" bestFit="1" customWidth="1"/>
  </cols>
  <sheetData>
    <row r="1" spans="1:10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16" t="s">
        <v>50</v>
      </c>
      <c r="B2" s="16" t="s">
        <v>0</v>
      </c>
      <c r="C2" s="24">
        <v>500</v>
      </c>
      <c r="D2" s="24">
        <v>1500</v>
      </c>
      <c r="E2" s="24">
        <v>250</v>
      </c>
      <c r="F2" s="24">
        <v>500</v>
      </c>
      <c r="G2" s="24">
        <v>500</v>
      </c>
      <c r="H2" s="24">
        <v>500</v>
      </c>
      <c r="I2" s="24">
        <v>500</v>
      </c>
      <c r="J2" s="24">
        <v>500</v>
      </c>
    </row>
    <row r="3" spans="1:10" s="4" customFormat="1" ht="22" x14ac:dyDescent="0.3">
      <c r="A3" s="17" t="s">
        <v>51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60" t="s">
        <v>51</v>
      </c>
      <c r="B4" s="17" t="s">
        <v>89</v>
      </c>
      <c r="C4" s="19"/>
      <c r="D4" s="19"/>
      <c r="E4" s="19"/>
      <c r="F4" s="19"/>
      <c r="G4" s="19">
        <v>110</v>
      </c>
      <c r="H4" s="19">
        <v>110</v>
      </c>
      <c r="I4" s="19">
        <v>110</v>
      </c>
      <c r="J4" s="19">
        <v>110</v>
      </c>
    </row>
    <row r="5" spans="1:10" s="4" customFormat="1" ht="22" x14ac:dyDescent="0.3">
      <c r="A5" s="17" t="s">
        <v>51</v>
      </c>
      <c r="B5" s="11" t="s">
        <v>12</v>
      </c>
      <c r="C5" s="12">
        <v>0</v>
      </c>
      <c r="D5" s="12">
        <v>230</v>
      </c>
      <c r="E5" s="12">
        <v>230</v>
      </c>
      <c r="F5" s="12">
        <v>230</v>
      </c>
      <c r="G5" s="12">
        <v>230</v>
      </c>
      <c r="H5" s="12">
        <v>230</v>
      </c>
      <c r="I5" s="12">
        <v>230</v>
      </c>
      <c r="J5" s="12">
        <v>230</v>
      </c>
    </row>
    <row r="6" spans="1:10" ht="22" x14ac:dyDescent="0.3">
      <c r="A6" s="14" t="s">
        <v>77</v>
      </c>
      <c r="B6" s="33" t="s">
        <v>10</v>
      </c>
      <c r="C6" s="13">
        <f>SUMIF(Table323[[Movement]:[Movement]],"Credit", Table323[2024-05-01])-SUMIF(Table323[[Movement]:[Movement]],"Debit", Table323[2024-05-01])</f>
        <v>500</v>
      </c>
      <c r="D6" s="13">
        <f>SUMIF(Table323[[Movement]:[Movement]],"Credit", Table323[2024-06-01])-SUMIF(Table323[[Movement]:[Movement]],"Debit", Table323[2024-06-01])</f>
        <v>1070</v>
      </c>
      <c r="E6" s="13">
        <f>SUMIF(Table323[[Movement]:[Movement]],"Credit", Table323[2024-07-01])-SUMIF(Table323[[Movement]:[Movement]],"Debit", Table323[2024-07-01])</f>
        <v>-180</v>
      </c>
      <c r="F6" s="13">
        <f>SUMIF(Table323[[Movement]:[Movement]],"Credit", Table323[2024-08-01])-SUMIF(Table323[[Movement]:[Movement]],"Debit", Table323[2024-08-01])</f>
        <v>70</v>
      </c>
      <c r="G6" s="13">
        <f>SUMIF(Table323[[Movement]:[Movement]],"Credit", Table323[2024-09-01])-SUMIF(Table323[[Movement]:[Movement]],"Debit", Table323[2024-09-01])</f>
        <v>-40</v>
      </c>
      <c r="H6" s="13">
        <f>SUMIF(Table323[[Movement]:[Movement]],"Credit", Table323[2024-10-01])-SUMIF(Table323[[Movement]:[Movement]],"Debit", Table323[2024-10-01])</f>
        <v>-40</v>
      </c>
      <c r="I6" s="13">
        <f>SUMIF(Table323[[Movement]:[Movement]],"Credit", Table323[2024-11-01])-SUMIF(Table323[[Movement]:[Movement]],"Debit", Table323[2024-11-01])</f>
        <v>-40</v>
      </c>
      <c r="J6" s="13">
        <f>SUMIF(Table323[[Movement]:[Movement]],"Credit", Table323[2024-12-01])-SUMIF(Table323[[Movement]:[Movement]],"Debit", Table323[2024-12-01])</f>
        <v>-40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5"/>
  <sheetViews>
    <sheetView workbookViewId="0">
      <selection activeCell="K16" sqref="K16"/>
    </sheetView>
  </sheetViews>
  <sheetFormatPr baseColWidth="10" defaultRowHeight="16" x14ac:dyDescent="0.2"/>
  <cols>
    <col min="2" max="2" width="29.83203125" bestFit="1" customWidth="1"/>
    <col min="3" max="4" width="16.5" hidden="1" customWidth="1"/>
    <col min="5" max="10" width="16.5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ht="22" x14ac:dyDescent="0.3">
      <c r="A2" s="23" t="s">
        <v>50</v>
      </c>
      <c r="B2" s="23" t="s">
        <v>16</v>
      </c>
      <c r="C2" s="22">
        <v>2000</v>
      </c>
      <c r="D2" s="22">
        <v>0</v>
      </c>
      <c r="E2" s="22">
        <v>500</v>
      </c>
      <c r="F2" s="22">
        <v>500</v>
      </c>
      <c r="G2" s="22">
        <v>500</v>
      </c>
      <c r="H2" s="22">
        <v>500</v>
      </c>
      <c r="I2" s="22">
        <v>500</v>
      </c>
      <c r="J2" s="22">
        <v>500</v>
      </c>
    </row>
    <row r="3" spans="1:10" s="3" customFormat="1" ht="22" x14ac:dyDescent="0.3">
      <c r="A3" s="26" t="s">
        <v>51</v>
      </c>
      <c r="B3" s="26" t="s">
        <v>84</v>
      </c>
      <c r="C3" s="53"/>
      <c r="D3" s="53"/>
      <c r="E3" s="53">
        <v>3550</v>
      </c>
      <c r="F3" s="53"/>
      <c r="G3" s="53"/>
      <c r="H3" s="53"/>
      <c r="I3" s="53"/>
      <c r="J3" s="53"/>
    </row>
    <row r="4" spans="1:10" s="3" customFormat="1" ht="22" x14ac:dyDescent="0.3">
      <c r="A4" s="26" t="s">
        <v>51</v>
      </c>
      <c r="B4" s="37" t="s">
        <v>17</v>
      </c>
      <c r="C4" s="38">
        <v>0</v>
      </c>
      <c r="D4" s="38">
        <v>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</row>
    <row r="5" spans="1:10" ht="22" x14ac:dyDescent="0.3">
      <c r="A5" s="33" t="s">
        <v>77</v>
      </c>
      <c r="B5" s="33" t="s">
        <v>9</v>
      </c>
      <c r="C5" s="36">
        <f>SUMIF(Table3254[[Movement]:[Movement]],"Credit", Table3254[2024-05-01])-SUMIF(Table3254[[Movement]:[Movement]],"Debit",Table3254[2024-05-01])</f>
        <v>2000</v>
      </c>
      <c r="D5" s="36">
        <f>SUMIF(Table3254[[Movement]:[Movement]],"Credit", Table3254[2024-06-01])-SUMIF(Table3254[[Movement]:[Movement]],"Debit",Table3254[2024-06-01])</f>
        <v>0</v>
      </c>
      <c r="E5" s="36">
        <f>SUMIF(Table3254[[Movement]:[Movement]],"Credit", Table3254[2024-07-01])-SUMIF(Table3254[[Movement]:[Movement]],"Debit",Table3254[2024-07-01])</f>
        <v>-3050</v>
      </c>
      <c r="F5" s="36">
        <f>SUMIF(Table3254[[Movement]:[Movement]],"Credit", Table3254[2024-08-01])-SUMIF(Table3254[[Movement]:[Movement]],"Debit",Table3254[2024-08-01])</f>
        <v>500</v>
      </c>
      <c r="G5" s="36">
        <f>SUMIF(Table3254[[Movement]:[Movement]],"Credit", Table3254[2024-09-01])-SUMIF(Table3254[[Movement]:[Movement]],"Debit",Table3254[2024-09-01])</f>
        <v>500</v>
      </c>
      <c r="H5" s="36">
        <f>SUMIF(Table3254[[Movement]:[Movement]],"Credit", Table3254[2024-10-01])-SUMIF(Table3254[[Movement]:[Movement]],"Debit",Table3254[2024-10-01])</f>
        <v>500</v>
      </c>
      <c r="I5" s="36">
        <f>SUMIF(Table3254[[Movement]:[Movement]],"Credit", Table3254[2024-11-01])-SUMIF(Table3254[[Movement]:[Movement]],"Debit",Table3254[2024-11-01])</f>
        <v>500</v>
      </c>
      <c r="J5" s="36">
        <f>SUMIF(Table3254[[Movement]:[Movement]],"Credit", Table3254[2024-12-01])-SUMIF(Table3254[[Movement]:[Movement]],"Debit",Table3254[2024-12-01])</f>
        <v>500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s="2" customFormat="1" ht="22" x14ac:dyDescent="0.3">
      <c r="A2" s="16" t="s">
        <v>50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2" t="s">
        <v>51</v>
      </c>
      <c r="B3" s="26" t="s">
        <v>82</v>
      </c>
      <c r="C3" s="53"/>
      <c r="D3" s="53"/>
      <c r="E3" s="53">
        <v>716601</v>
      </c>
      <c r="F3" s="53"/>
      <c r="G3" s="53"/>
      <c r="H3" s="53"/>
      <c r="I3" s="53"/>
      <c r="J3" s="53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spans="1:34" ht="22" x14ac:dyDescent="0.3">
      <c r="A4" s="25" t="s">
        <v>77</v>
      </c>
      <c r="B4" s="33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8"/>
  <sheetViews>
    <sheetView showGridLines="0" topLeftCell="B1" workbookViewId="0">
      <selection activeCell="H5" sqref="H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ht="22" x14ac:dyDescent="0.3">
      <c r="A2" s="16" t="s">
        <v>50</v>
      </c>
      <c r="B2" s="16" t="s">
        <v>36</v>
      </c>
      <c r="C2" s="8">
        <v>1000</v>
      </c>
      <c r="D2" s="8">
        <v>1000</v>
      </c>
      <c r="E2" s="8">
        <v>750</v>
      </c>
      <c r="F2" s="8">
        <v>250</v>
      </c>
      <c r="G2" s="8">
        <v>750</v>
      </c>
      <c r="H2" s="8">
        <v>750</v>
      </c>
      <c r="I2" s="8">
        <v>750</v>
      </c>
      <c r="J2" s="8">
        <v>750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16" t="s">
        <v>50</v>
      </c>
      <c r="B3" s="16" t="s">
        <v>0</v>
      </c>
      <c r="C3" s="8">
        <v>1000</v>
      </c>
      <c r="D3" s="8">
        <v>1000</v>
      </c>
      <c r="E3" s="8"/>
      <c r="F3" s="8"/>
      <c r="G3" s="8">
        <v>500</v>
      </c>
      <c r="H3" s="8">
        <v>1000</v>
      </c>
      <c r="I3" s="8">
        <v>1000</v>
      </c>
      <c r="J3" s="8">
        <v>1000</v>
      </c>
      <c r="K3" s="8">
        <v>5000</v>
      </c>
      <c r="L3" s="8">
        <v>5000</v>
      </c>
      <c r="M3" s="8">
        <v>5000</v>
      </c>
      <c r="N3" s="8">
        <v>5000</v>
      </c>
      <c r="O3" s="8">
        <v>5000</v>
      </c>
      <c r="P3" s="8">
        <v>5000</v>
      </c>
      <c r="Q3" s="8">
        <v>6000</v>
      </c>
      <c r="R3" s="8">
        <v>6000</v>
      </c>
      <c r="S3" s="8">
        <v>6000</v>
      </c>
      <c r="T3" s="8">
        <v>6000</v>
      </c>
      <c r="U3" s="8">
        <v>6000</v>
      </c>
      <c r="V3" s="8">
        <v>6000</v>
      </c>
      <c r="W3" s="8">
        <v>6000</v>
      </c>
      <c r="X3" s="8">
        <v>6000</v>
      </c>
      <c r="Y3" s="8">
        <v>6000</v>
      </c>
      <c r="Z3" s="8">
        <v>6000</v>
      </c>
      <c r="AA3" s="8">
        <v>6000</v>
      </c>
      <c r="AB3" s="8">
        <v>6000</v>
      </c>
      <c r="AC3" s="8">
        <v>6000</v>
      </c>
      <c r="AD3" s="8">
        <v>6000</v>
      </c>
      <c r="AE3" s="8">
        <v>6000</v>
      </c>
      <c r="AF3" s="8">
        <v>6000</v>
      </c>
      <c r="AG3" s="8"/>
      <c r="AH3" s="8"/>
    </row>
    <row r="4" spans="1:34" s="3" customFormat="1" ht="22" x14ac:dyDescent="0.3">
      <c r="A4" s="52" t="s">
        <v>51</v>
      </c>
      <c r="B4" s="26" t="s">
        <v>34</v>
      </c>
      <c r="C4" s="53">
        <v>10800</v>
      </c>
      <c r="D4" s="53">
        <v>5400</v>
      </c>
      <c r="E4" s="53">
        <v>5400</v>
      </c>
      <c r="F4" s="53">
        <v>5400</v>
      </c>
      <c r="G4" s="53">
        <v>5400</v>
      </c>
      <c r="H4" s="53">
        <v>5400</v>
      </c>
      <c r="I4" s="53"/>
      <c r="J4" s="53"/>
      <c r="K4" s="54">
        <v>5500</v>
      </c>
      <c r="L4" s="54">
        <v>5500</v>
      </c>
      <c r="M4" s="54">
        <v>5500</v>
      </c>
      <c r="N4" s="54">
        <v>5500</v>
      </c>
      <c r="O4" s="54">
        <v>5500</v>
      </c>
      <c r="P4" s="54">
        <v>5500</v>
      </c>
      <c r="Q4" s="54">
        <v>5500</v>
      </c>
      <c r="R4" s="54">
        <v>5500</v>
      </c>
      <c r="S4" s="54">
        <v>5500</v>
      </c>
      <c r="T4" s="54">
        <v>5500</v>
      </c>
      <c r="U4" s="54"/>
      <c r="V4" s="54"/>
      <c r="W4" s="54">
        <v>5600</v>
      </c>
      <c r="X4" s="54">
        <v>5600</v>
      </c>
      <c r="Y4" s="54">
        <v>5600</v>
      </c>
      <c r="Z4" s="54">
        <v>5600</v>
      </c>
      <c r="AA4" s="54">
        <v>5600</v>
      </c>
      <c r="AB4" s="54">
        <v>5600</v>
      </c>
      <c r="AC4" s="54">
        <v>5600</v>
      </c>
      <c r="AD4" s="54">
        <v>5600</v>
      </c>
      <c r="AE4" s="54">
        <v>5600</v>
      </c>
      <c r="AF4" s="54">
        <v>5600</v>
      </c>
      <c r="AG4" s="54"/>
      <c r="AH4" s="54"/>
    </row>
    <row r="5" spans="1:34" s="3" customFormat="1" ht="22" x14ac:dyDescent="0.3">
      <c r="A5" s="52" t="s">
        <v>51</v>
      </c>
      <c r="B5" s="26" t="s">
        <v>26</v>
      </c>
      <c r="C5" s="53">
        <v>0</v>
      </c>
      <c r="D5" s="53"/>
      <c r="E5" s="53"/>
      <c r="F5" s="53"/>
      <c r="G5" s="53"/>
      <c r="H5" s="53"/>
      <c r="I5" s="53"/>
      <c r="J5" s="53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spans="1:34" s="3" customFormat="1" ht="22" x14ac:dyDescent="0.3">
      <c r="A6" s="52" t="s">
        <v>51</v>
      </c>
      <c r="B6" s="26" t="s">
        <v>33</v>
      </c>
      <c r="C6" s="53">
        <v>500</v>
      </c>
      <c r="D6" s="53"/>
      <c r="E6" s="53"/>
      <c r="F6" s="53"/>
      <c r="G6" s="53"/>
      <c r="H6" s="53"/>
      <c r="I6" s="53"/>
      <c r="J6" s="53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s="3" customFormat="1" ht="22" x14ac:dyDescent="0.3">
      <c r="A7" s="52" t="s">
        <v>51</v>
      </c>
      <c r="B7" s="26" t="s">
        <v>35</v>
      </c>
      <c r="C7" s="53"/>
      <c r="D7" s="53"/>
      <c r="E7" s="53"/>
      <c r="F7" s="53"/>
      <c r="G7" s="53"/>
      <c r="H7" s="53"/>
      <c r="I7" s="53"/>
      <c r="J7" s="53"/>
      <c r="K7" s="54">
        <v>22000</v>
      </c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>
        <v>23000</v>
      </c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ht="22" x14ac:dyDescent="0.3">
      <c r="A8" s="25" t="s">
        <v>77</v>
      </c>
      <c r="B8" s="33" t="s">
        <v>25</v>
      </c>
      <c r="C8" s="13">
        <f>SUMIF(Table328[[Movement]:[Movement]],"Credit", Table328[2024-05-01])-SUMIF(Table328[[Movement]:[Movement]],"Debit", Table328[2024-05-01])</f>
        <v>-9300</v>
      </c>
      <c r="D8" s="13">
        <f>SUMIF(Table328[[Movement]:[Movement]],"Credit", Table328[2024-06-01])-SUMIF(Table328[[Movement]:[Movement]],"Debit", Table328[2024-06-01])</f>
        <v>-3400</v>
      </c>
      <c r="E8" s="13">
        <f>SUMIF(Table328[[Movement]:[Movement]],"Credit", Table328[2024-07-01])-SUMIF(Table328[[Movement]:[Movement]],"Debit", Table328[2024-07-01])</f>
        <v>-4650</v>
      </c>
      <c r="F8" s="13">
        <f>SUMIF(Table328[[Movement]:[Movement]],"Credit", Table328[2024-08-01])-SUMIF(Table328[[Movement]:[Movement]],"Debit", Table328[2024-08-01])</f>
        <v>-5150</v>
      </c>
      <c r="G8" s="13">
        <f>SUMIF(Table328[[Movement]:[Movement]],"Credit", Table328[2024-09-01])-SUMIF(Table328[[Movement]:[Movement]],"Debit", Table328[2024-09-01])</f>
        <v>-4150</v>
      </c>
      <c r="H8" s="13">
        <f>SUMIF(Table328[[Movement]:[Movement]],"Credit", Table328[2024-10-01])-SUMIF(Table328[[Movement]:[Movement]],"Debit", Table328[2024-10-01])</f>
        <v>-3650</v>
      </c>
      <c r="I8" s="13">
        <f>SUMIF(Table328[[Movement]:[Movement]],"Credit", Table328[2024-11-01])-SUMIF(Table328[[Movement]:[Movement]],"Debit", Table328[2024-11-01])</f>
        <v>1750</v>
      </c>
      <c r="J8" s="13">
        <f>SUMIF(Table328[[Movement]:[Movement]],"Credit", Table328[2024-12-01])-SUMIF(Table328[[Movement]:[Movement]],"Debit", Table328[2024-12-01])</f>
        <v>1750</v>
      </c>
      <c r="K8" s="13">
        <f>SUMIF(Table328[[Movement]:[Movement]],"Credit", Table328[2025-01-01])-SUMIF(Table328[[Movement]:[Movement]],"Debit", Table328[2025-01-01])</f>
        <v>-21500</v>
      </c>
      <c r="L8" s="13">
        <f>SUMIF(Table328[[Movement]:[Movement]],"Credit", Table328[2025-02-01])-SUMIF(Table328[[Movement]:[Movement]],"Debit", Table328[2025-02-01])</f>
        <v>500</v>
      </c>
      <c r="M8" s="13">
        <f>SUMIF(Table328[[Movement]:[Movement]],"Credit", Table328[2025-03-01])-SUMIF(Table328[[Movement]:[Movement]],"Debit", Table328[2025-03-01])</f>
        <v>500</v>
      </c>
      <c r="N8" s="13">
        <f>SUMIF(Table328[[Movement]:[Movement]],"Credit", Table328[2025-04-01])-SUMIF(Table328[[Movement]:[Movement]],"Debit", Table328[2025-04-01])</f>
        <v>500</v>
      </c>
      <c r="O8" s="13">
        <f>SUMIF(Table328[[Movement]:[Movement]],"Credit", Table328[2025-05-01])-SUMIF(Table328[[Movement]:[Movement]],"Debit", Table328[2025-05-01])</f>
        <v>500</v>
      </c>
      <c r="P8" s="13">
        <f>SUMIF(Table328[[Movement]:[Movement]],"Credit", Table328[2025-06-01])-SUMIF(Table328[[Movement]:[Movement]],"Debit", Table328[2025-06-01])</f>
        <v>500</v>
      </c>
      <c r="Q8" s="13">
        <f>SUMIF(Table328[[Movement]:[Movement]],"Credit", Table328[2025-07-01])-SUMIF(Table328[[Movement]:[Movement]],"Debit", Table328[2025-07-01])</f>
        <v>1500</v>
      </c>
      <c r="R8" s="13">
        <f>SUMIF(Table328[[Movement]:[Movement]],"Credit", Table328[2025-08-01])-SUMIF(Table328[[Movement]:[Movement]],"Debit", Table328[2025-08-01])</f>
        <v>1500</v>
      </c>
      <c r="S8" s="13">
        <f>SUMIF(Table328[[Movement]:[Movement]],"Credit", Table328[2025-09-01])-SUMIF(Table328[[Movement]:[Movement]],"Debit", Table328[2025-09-01])</f>
        <v>1500</v>
      </c>
      <c r="T8" s="13">
        <f>SUMIF(Table328[[Movement]:[Movement]],"Credit", Table328[2025-10-01])-SUMIF(Table328[[Movement]:[Movement]],"Debit", Table328[2025-10-01])</f>
        <v>1500</v>
      </c>
      <c r="U8" s="13">
        <f>SUMIF(Table328[[Movement]:[Movement]],"Credit", Table328[2025-11-01])-SUMIF(Table328[[Movement]:[Movement]],"Debit", Table328[2025-11-01])</f>
        <v>7000</v>
      </c>
      <c r="V8" s="13">
        <f>SUMIF(Table328[[Movement]:[Movement]],"Credit", Table328[2025-12-01])-SUMIF(Table328[[Movement]:[Movement]],"Debit", Table328[2025-12-01])</f>
        <v>7000</v>
      </c>
      <c r="W8" s="13">
        <f>SUMIF(Table328[[Movement]:[Movement]],"Credit", Table328[2026-01-01])-SUMIF(Table328[[Movement]:[Movement]],"Debit", Table328[2026-01-01])</f>
        <v>-21600</v>
      </c>
      <c r="X8" s="13">
        <f>SUMIF(Table328[[Movement]:[Movement]],"Credit", Table328[2026-02-01])-SUMIF(Table328[[Movement]:[Movement]],"Debit", Table328[2026-02-01])</f>
        <v>1400</v>
      </c>
      <c r="Y8" s="13">
        <f>SUMIF(Table328[[Movement]:[Movement]],"Credit", Table328[2026-03-01])-SUMIF(Table328[[Movement]:[Movement]],"Debit", Table328[2026-03-01])</f>
        <v>1400</v>
      </c>
      <c r="Z8" s="13">
        <f>SUMIF(Table328[[Movement]:[Movement]],"Credit", Table328[2026-04-01])-SUMIF(Table328[[Movement]:[Movement]],"Debit", Table328[2026-04-01])</f>
        <v>1400</v>
      </c>
      <c r="AA8" s="13">
        <f>SUMIF(Table328[[Movement]:[Movement]],"Credit", Table328[2026-05-01])-SUMIF(Table328[[Movement]:[Movement]],"Debit", Table328[2026-05-01])</f>
        <v>1400</v>
      </c>
      <c r="AB8" s="13">
        <f>SUMIF(Table328[[Movement]:[Movement]],"Credit", Table328[2026-06-01])-SUMIF(Table328[[Movement]:[Movement]],"Debit", Table328[2026-06-01])</f>
        <v>1400</v>
      </c>
      <c r="AC8" s="13">
        <f>SUMIF(Table328[[Movement]:[Movement]],"Credit", Table328[2026-07-01])-SUMIF(Table328[[Movement]:[Movement]],"Debit", Table328[2026-07-01])</f>
        <v>1400</v>
      </c>
      <c r="AD8" s="13">
        <f>SUMIF(Table328[[Movement]:[Movement]],"Credit", Table328[2026-08-01])-SUMIF(Table328[[Movement]:[Movement]],"Debit", Table328[2026-08-01])</f>
        <v>1400</v>
      </c>
      <c r="AE8" s="13">
        <f>SUMIF(Table328[[Movement]:[Movement]],"Credit", Table328[2026-09-01])-SUMIF(Table328[[Movement]:[Movement]],"Debit", Table328[2026-09-01])</f>
        <v>1400</v>
      </c>
      <c r="AF8" s="13">
        <f>SUMIF(Table328[[Movement]:[Movement]],"Credit", Table328[2026-10-01])-SUMIF(Table328[[Movement]:[Movement]],"Debit", Table328[2026-10-01])</f>
        <v>1400</v>
      </c>
      <c r="AG8" s="13">
        <f>SUMIF(Table328[[Movement]:[Movement]],"Credit", Table328[2026-11-01])-SUMIF(Table328[[Movement]:[Movement]],"Debit", Table328[2026-11-01])</f>
        <v>0</v>
      </c>
      <c r="AH8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4" t="s">
        <v>23</v>
      </c>
      <c r="B1" s="35" t="s">
        <v>49</v>
      </c>
      <c r="C1" s="28" t="s">
        <v>38</v>
      </c>
      <c r="D1" s="28" t="s">
        <v>39</v>
      </c>
      <c r="E1" s="28" t="s">
        <v>41</v>
      </c>
      <c r="F1" s="28" t="s">
        <v>40</v>
      </c>
      <c r="G1" s="28" t="s">
        <v>42</v>
      </c>
      <c r="H1" s="28" t="s">
        <v>43</v>
      </c>
      <c r="I1" s="28" t="s">
        <v>44</v>
      </c>
      <c r="J1" s="28" t="s">
        <v>45</v>
      </c>
    </row>
    <row r="2" spans="1:10" ht="22" x14ac:dyDescent="0.3">
      <c r="A2" s="29" t="s">
        <v>50</v>
      </c>
      <c r="B2" s="29" t="s">
        <v>0</v>
      </c>
      <c r="C2" s="30">
        <v>200</v>
      </c>
      <c r="D2" s="30">
        <v>200</v>
      </c>
      <c r="E2" s="30">
        <v>200</v>
      </c>
      <c r="F2" s="30">
        <v>200</v>
      </c>
      <c r="G2" s="30">
        <v>200</v>
      </c>
      <c r="H2" s="30">
        <v>200</v>
      </c>
      <c r="I2" s="30">
        <v>200</v>
      </c>
      <c r="J2" s="30">
        <v>200</v>
      </c>
    </row>
    <row r="3" spans="1:10" ht="22" x14ac:dyDescent="0.3">
      <c r="A3" s="31" t="s">
        <v>51</v>
      </c>
      <c r="B3" s="31" t="s">
        <v>17</v>
      </c>
      <c r="C3" s="32">
        <v>0</v>
      </c>
      <c r="D3" s="32" t="s">
        <v>76</v>
      </c>
      <c r="E3" s="32" t="s">
        <v>76</v>
      </c>
      <c r="F3" s="32" t="s">
        <v>76</v>
      </c>
      <c r="G3" s="32" t="s">
        <v>76</v>
      </c>
      <c r="H3" s="32" t="s">
        <v>76</v>
      </c>
      <c r="I3" s="32" t="s">
        <v>76</v>
      </c>
      <c r="J3" s="32" t="s">
        <v>76</v>
      </c>
    </row>
    <row r="4" spans="1:10" s="50" customFormat="1" ht="22" x14ac:dyDescent="0.3">
      <c r="A4" s="49" t="s">
        <v>77</v>
      </c>
      <c r="B4" s="49" t="s">
        <v>46</v>
      </c>
      <c r="C4" s="51">
        <f>SUMIF(Table5[[Movement]:[Movement]],"Credit", Table5[2024-05-01])-SUMIF(Table5[[Movement]:[Movement]],"Debit", Table5[2024-05-01])</f>
        <v>200</v>
      </c>
      <c r="D4" s="51">
        <f>SUMIF(Table5[[Movement]:[Movement]],"Credit", Table5[2024-06-01])-SUMIF(Table5[[Movement]:[Movement]],"Debit", Table5[2024-06-01])</f>
        <v>200</v>
      </c>
      <c r="E4" s="51">
        <f>SUMIF(Table5[[Movement]:[Movement]],"Credit", Table5[2024-07-01])-SUMIF(Table5[[Movement]:[Movement]],"Debit", Table5[2024-07-01])</f>
        <v>200</v>
      </c>
      <c r="F4" s="51">
        <f>SUMIF(Table5[[Movement]:[Movement]],"Credit", Table5[2024-08-01])-SUMIF(Table5[[Movement]:[Movement]],"Debit", Table5[2024-08-01])</f>
        <v>200</v>
      </c>
      <c r="G4" s="51">
        <f>SUMIF(Table5[[Movement]:[Movement]],"Credit", Table5[2024-09-01])-SUMIF(Table5[[Movement]:[Movement]],"Debit", Table5[2024-09-01])</f>
        <v>200</v>
      </c>
      <c r="H4" s="51">
        <f>SUMIF(Table5[[Movement]:[Movement]],"Credit", Table5[2024-10-01])-SUMIF(Table5[[Movement]:[Movement]],"Debit", Table5[2024-10-01])</f>
        <v>200</v>
      </c>
      <c r="I4" s="51">
        <f>SUMIF(Table5[[Movement]:[Movement]],"Credit", Table5[2024-11-01])-SUMIF(Table5[[Movement]:[Movement]],"Debit", Table5[2024-11-01])</f>
        <v>200</v>
      </c>
      <c r="J4" s="51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23" t="s">
        <v>50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51</v>
      </c>
      <c r="B3" s="18" t="s">
        <v>28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51</v>
      </c>
      <c r="B4" s="18" t="s">
        <v>29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51</v>
      </c>
      <c r="B5" s="18" t="s">
        <v>31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51</v>
      </c>
      <c r="B6" s="18" t="s">
        <v>27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51</v>
      </c>
      <c r="B7" s="18" t="s">
        <v>20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51</v>
      </c>
      <c r="B8" s="17" t="s">
        <v>32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3" t="s">
        <v>77</v>
      </c>
      <c r="B9" s="33" t="s">
        <v>30</v>
      </c>
      <c r="C9" s="36">
        <f>SUMIF(Table32810[[Movement]:[Movement]],"Credit", Table32810[2024-05-01])-SUMIF(Table32810[[Movement]:[Movement]],"Debit", Table32810[2024-05-01])</f>
        <v>0</v>
      </c>
      <c r="D9" s="36">
        <f>SUMIF(Table32810[[Movement]:[Movement]],"Credit", Table32810[2024-06-01])-SUMIF(Table32810[[Movement]:[Movement]],"Debit", Table32810[2024-06-01])</f>
        <v>-500</v>
      </c>
      <c r="E9" s="36">
        <f>SUMIF(Table32810[[Movement]:[Movement]],"Credit", Table32810[2024-07-01])-SUMIF(Table32810[[Movement]:[Movement]],"Debit", Table32810[2024-07-01])</f>
        <v>-8000</v>
      </c>
      <c r="F9" s="36">
        <f>SUMIF(Table32810[[Movement]:[Movement]],"Credit", Table32810[2024-08-01])-SUMIF(Table32810[[Movement]:[Movement]],"Debit", Table32810[2024-08-01])</f>
        <v>-500</v>
      </c>
      <c r="G9" s="36">
        <f>SUMIF(Table32810[[Movement]:[Movement]],"Credit", Table32810[2024-09-01])-SUMIF(Table32810[[Movement]:[Movement]],"Debit", Table32810[2024-09-01])</f>
        <v>-500</v>
      </c>
      <c r="H9" s="36">
        <f>SUMIF(Table32810[[Movement]:[Movement]],"Credit", Table32810[2024-10-01])-SUMIF(Table32810[[Movement]:[Movement]],"Debit", Table32810[2024-10-01])</f>
        <v>-5000</v>
      </c>
      <c r="I9" s="36">
        <f>SUMIF(Table32810[[Movement]:[Movement]],"Credit", Table32810[2024-11-01])-SUMIF(Table32810[[Movement]:[Movement]],"Debit", Table32810[2024-11-01])</f>
        <v>0</v>
      </c>
      <c r="J9" s="36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2024-09-03T08:45:14Z</dcterms:modified>
</cp:coreProperties>
</file>