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36FC03C3-ECA3-114F-9F2B-218036F933C7}" xr6:coauthVersionLast="47" xr6:coauthVersionMax="47" xr10:uidLastSave="{00000000-0000-0000-0000-000000000000}"/>
  <bookViews>
    <workbookView xWindow="0" yWindow="500" windowWidth="30720" windowHeight="18700" activeTab="5" xr2:uid="{F25DD163-696E-F842-A897-5E899A2812A7}"/>
  </bookViews>
  <sheets>
    <sheet name="Jeanre Transactional" sheetId="11" r:id="rId1"/>
    <sheet name="Bernice Transactional" sheetId="20" r:id="rId2"/>
    <sheet name="Jeanre Credit Card" sheetId="19" r:id="rId3"/>
    <sheet name="Bernice Credit Card" sheetId="21" r:id="rId4"/>
    <sheet name="Home Loan" sheetId="26" r:id="rId5"/>
    <sheet name="Jodine U" sheetId="12" r:id="rId6"/>
    <sheet name="Emergency" sheetId="22" r:id="rId7"/>
    <sheet name="Personal Wealth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" i="26" l="1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D5" i="21"/>
  <c r="E5" i="21"/>
  <c r="F5" i="21"/>
  <c r="G5" i="21"/>
  <c r="H5" i="21"/>
  <c r="I5" i="21"/>
  <c r="J5" i="21"/>
  <c r="C5" i="21"/>
  <c r="D10" i="20"/>
  <c r="E10" i="20"/>
  <c r="F10" i="20"/>
  <c r="G10" i="20"/>
  <c r="H10" i="20"/>
  <c r="I10" i="20"/>
  <c r="J10" i="20"/>
  <c r="C10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C8" i="12"/>
  <c r="E5" i="19"/>
  <c r="F5" i="19"/>
  <c r="G5" i="19"/>
  <c r="H5" i="19"/>
  <c r="I5" i="19"/>
  <c r="J5" i="19"/>
  <c r="D5" i="19"/>
  <c r="C5" i="19"/>
  <c r="C30" i="11"/>
  <c r="J30" i="11"/>
  <c r="I30" i="11"/>
  <c r="H30" i="11"/>
  <c r="G30" i="11"/>
  <c r="F30" i="11"/>
  <c r="E30" i="11"/>
  <c r="D30" i="11"/>
</calcChain>
</file>

<file path=xl/sharedStrings.xml><?xml version="1.0" encoding="utf-8"?>
<sst xmlns="http://schemas.openxmlformats.org/spreadsheetml/2006/main" count="269" uniqueCount="87">
  <si>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</si>
  <si>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</si>
  <si>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</si>
  <si>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</si>
  <si>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</si>
  <si>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</si>
  <si>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</si>
  <si>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</si>
  <si>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</si>
  <si>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</si>
  <si>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</si>
  <si>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</si>
  <si>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</si>
  <si>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</si>
  <si>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</si>
  <si>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</si>
  <si>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</si>
  <si>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</si>
  <si>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</si>
  <si>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</si>
  <si>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</si>
  <si>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</si>
  <si>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</si>
  <si>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</si>
  <si>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</si>
  <si>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</si>
  <si>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</si>
  <si>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</si>
  <si>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</si>
  <si>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</si>
  <si>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</si>
  <si>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</si>
  <si>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</si>
  <si>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</si>
  <si>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</si>
  <si>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</si>
  <si>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</si>
  <si>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</si>
  <si>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</si>
  <si>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</si>
  <si>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</si>
  <si>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</si>
  <si>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</si>
  <si>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</si>
  <si>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</si>
  <si>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</si>
  <si>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</si>
  <si>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</si>
  <si>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</si>
  <si>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</si>
  <si>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</si>
  <si>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</si>
  <si>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</si>
  <si>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</si>
  <si>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</si>
  <si>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</si>
  <si>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</si>
  <si>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</si>
  <si>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</si>
  <si>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</si>
  <si>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</si>
  <si>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</si>
  <si>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</si>
  <si>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</si>
  <si>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</si>
  <si>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</si>
  <si>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</si>
  <si>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</si>
  <si>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</si>
  <si>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</si>
  <si>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</si>
  <si>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</si>
  <si>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</si>
  <si>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</si>
  <si>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</si>
  <si>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</si>
  <si>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</si>
  <si>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</si>
  <si>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</si>
  <si>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</si>
  <si>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Medical</t>
  </si>
  <si>
    <t>Vehicle Licenses</t>
  </si>
  <si>
    <t>Budget Retained Balance</t>
  </si>
  <si>
    <t>Comic Con</t>
  </si>
  <si>
    <t>Bulk Meat</t>
  </si>
  <si>
    <t>Tax</t>
  </si>
  <si>
    <t>Bernice Personal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</si>
</sst>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1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6"/>
      <color rgb="FF7030A0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  <xf numFmtId="44" fontId="18" fillId="2" borderId="0" xfId="0" applyNumberFormat="1" applyFont="1" applyFill="1"/>
    <xf numFmtId="44" fontId="18" fillId="3" borderId="0" xfId="0" applyNumberFormat="1" applyFont="1" applyFill="1"/>
    <xf numFmtId="44" fontId="18" fillId="10" borderId="0" xfId="0" applyNumberFormat="1" applyFont="1" applyFill="1"/>
  </cellXfs>
  <cellStyles count="1">
    <cellStyle name="Normal" xfId="0" builtinId="0"/>
  </cellStyles>
  <dxfs count="222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30" totalsRowCount="1" headerRowDxfId="221" dataDxfId="220">
  <autoFilter ref="A1:J29" xr:uid="{92565AF6-51CB-F740-ACD0-AD376C5F8FE0}"/>
  <tableColumns count="10">
    <tableColumn id="5" xr3:uid="{8651B483-0F4C-9745-8034-DD83AE8DA141}" name="Movement" totalsRowLabel="Subtotal" dataDxfId="219" totalsRowDxfId="43"/>
    <tableColumn id="6" xr3:uid="{2F7AE88F-4B40-4240-BF3E-94BC56EB2208}" name="Account Secondary" totalsRowLabel="Jeanre Transactional" dataDxfId="218" totalsRowDxfId="42"/>
    <tableColumn id="7" xr3:uid="{ADA98953-117B-F145-A74B-A985F167B6BC}" name="2024-05-01" totalsRowFunction="custom" dataDxfId="217" totalsRowDxfId="41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216" totalsRowDxfId="40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215" totalsRowDxfId="39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214" totalsRowDxfId="38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213" totalsRowDxfId="37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212" totalsRowDxfId="36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211" totalsRowDxfId="35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210" totalsRowDxfId="34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0" totalsRowShown="0" headerRowDxfId="209" dataDxfId="208">
  <autoFilter ref="A1:J10" xr:uid="{92565AF6-51CB-F740-ACD0-AD376C5F8FE0}"/>
  <tableColumns count="10">
    <tableColumn id="5" xr3:uid="{0BB631CD-7A04-8A42-B7DB-927BAF556EEE}" name="Movement" dataDxfId="207"/>
    <tableColumn id="6" xr3:uid="{F2B17D4B-E397-234D-B50E-5D377954B9CE}" name="Account Secondary" dataDxfId="206"/>
    <tableColumn id="7" xr3:uid="{224B2C86-CE9C-9740-8863-A79E9BA6474C}" name="2024-05-01" dataDxfId="205"/>
    <tableColumn id="8" xr3:uid="{86C20A53-81CA-5C44-94E5-DFEF4FEBDB46}" name="2024-06-01" dataDxfId="204"/>
    <tableColumn id="9" xr3:uid="{7A5EB71F-2A37-D94A-A511-CB581024F945}" name="2024-07-01" dataDxfId="203"/>
    <tableColumn id="10" xr3:uid="{4323FC88-E3C5-C942-A248-8725F58D05F1}" name="2024-08-01" dataDxfId="202"/>
    <tableColumn id="11" xr3:uid="{A67EE3D4-5BA4-CB4C-A243-EC07A75B9A2A}" name="2024-09-01" dataDxfId="201"/>
    <tableColumn id="12" xr3:uid="{D8311E55-3FCF-5646-9D4B-8E41AACE8122}" name="2024-10-01" dataDxfId="200"/>
    <tableColumn id="13" xr3:uid="{1068DD40-0163-AB4F-BD01-F087C1DA52FC}" name="2024-11-01" dataDxfId="199"/>
    <tableColumn id="14" xr3:uid="{1979ACD9-F9BF-B64F-8FAE-C5E1FD6DB39A}" name="2024-12-01" dataDxfId="19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5" totalsRowShown="0" headerRowDxfId="197" dataDxfId="196">
  <autoFilter ref="A1:J5" xr:uid="{92565AF6-51CB-F740-ACD0-AD376C5F8FE0}"/>
  <tableColumns count="10">
    <tableColumn id="1" xr3:uid="{0B7A1F2D-D042-6947-B65B-356D4D33EC84}" name="Movement" dataDxfId="195"/>
    <tableColumn id="6" xr3:uid="{8D570864-DCAB-384F-9AAB-0B1B408BA72D}" name="Account Secondary" dataDxfId="194"/>
    <tableColumn id="7" xr3:uid="{1C5600AD-E9D1-6040-A70C-7F4F4F75639C}" name="2024-05-01" dataDxfId="193"/>
    <tableColumn id="8" xr3:uid="{A3364F3B-B8BC-434D-A8BB-FFC3B8C71293}" name="2024-06-01" dataDxfId="192"/>
    <tableColumn id="9" xr3:uid="{1771F61E-E416-CE41-8394-E64B9057B10F}" name="2024-07-01" dataDxfId="191"/>
    <tableColumn id="10" xr3:uid="{7188F6FE-F410-1741-B1DE-14957C8A5CB8}" name="2024-08-01" dataDxfId="190"/>
    <tableColumn id="11" xr3:uid="{C2DE6C79-5960-3D4C-B26C-70E7E132D282}" name="2024-09-01" dataDxfId="189"/>
    <tableColumn id="12" xr3:uid="{F4072681-3F04-0A46-9D9B-9A5803996783}" name="2024-10-01" dataDxfId="188"/>
    <tableColumn id="13" xr3:uid="{AB81E1BD-B0CD-E84E-BC8A-D81316A44B08}" name="2024-11-01" dataDxfId="187"/>
    <tableColumn id="14" xr3:uid="{7B9D14C4-BF9C-C74A-A14D-9A201AB2AF66}" name="2024-12-01" dataDxfId="18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5" totalsRowShown="0" headerRowDxfId="185" dataDxfId="184">
  <autoFilter ref="A1:J5" xr:uid="{D9073226-BE95-ED4B-8E84-34502A072542}"/>
  <tableColumns count="10">
    <tableColumn id="5" xr3:uid="{D736239C-8F8A-0A41-855C-2D61D9FA6F03}" name="Movement" dataDxfId="183"/>
    <tableColumn id="6" xr3:uid="{879B2830-2DB7-7C44-BEEF-A003D5F5C5EF}" name="Account Secondary" dataDxfId="182"/>
    <tableColumn id="7" xr3:uid="{142EA412-8F0A-D645-9812-6B2B6729A8A4}" name="2024-05-01" dataDxfId="181"/>
    <tableColumn id="8" xr3:uid="{DD117CB8-2856-0D48-9412-33F2845F937D}" name="2024-06-01" dataDxfId="180"/>
    <tableColumn id="9" xr3:uid="{C9503397-2C2A-5B4B-84F6-7256EAD4FF82}" name="2024-07-01" dataDxfId="179"/>
    <tableColumn id="10" xr3:uid="{528B3BEA-F5F6-CA4E-AA11-9CB0EBC907A1}" name="2024-08-01" dataDxfId="178"/>
    <tableColumn id="11" xr3:uid="{248F2750-40B2-694E-B3E3-8C20B5CD9E09}" name="2024-09-01" dataDxfId="177"/>
    <tableColumn id="12" xr3:uid="{FB23FE30-E2E2-BE49-A8AF-CCF74A9E5265}" name="2024-10-01" dataDxfId="176"/>
    <tableColumn id="13" xr3:uid="{B7503BFF-CAE0-234C-B277-0A411884B34E}" name="2024-11-01" dataDxfId="175"/>
    <tableColumn id="14" xr3:uid="{990DC215-1A0B-E34F-9CD0-E23EE6337BA8}" name="2024-12-01" dataDxfId="17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173" dataDxfId="172">
  <autoFilter ref="A1:AH3" xr:uid="{92565AF6-51CB-F740-ACD0-AD376C5F8FE0}"/>
  <tableColumns count="34">
    <tableColumn id="1" xr3:uid="{48C7FEF4-77BD-9541-BE84-1814C3078641}" name="Movement" totalsRowLabel="Subtotal" dataDxfId="171" totalsRowDxfId="170"/>
    <tableColumn id="6" xr3:uid="{8363580B-2FC4-DF47-8BAB-B104EA5DEB86}" name="Account Secondary" totalsRowLabel="Home Loan" dataDxfId="169" totalsRowDxfId="168"/>
    <tableColumn id="7" xr3:uid="{361D3CD3-A32A-B64C-A7D7-E6E15865CDC7}" name="2024-05-01" totalsRowFunction="custom" dataDxfId="167" totalsRowDxfId="166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165" totalsRowDxfId="164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63" totalsRowDxfId="162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61" totalsRowDxfId="160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59" totalsRowDxfId="158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57" totalsRowDxfId="156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55" totalsRowDxfId="154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53" totalsRowDxfId="152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51" totalsRowDxfId="150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49" totalsRowDxfId="148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47" totalsRowDxfId="146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45" totalsRowDxfId="144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43" totalsRowDxfId="142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41" totalsRowDxfId="140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39" totalsRowDxfId="138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37" totalsRowDxfId="136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35" totalsRowDxfId="134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33" totalsRowDxfId="132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31" totalsRowDxfId="130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29" totalsRowDxfId="128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27" totalsRowDxfId="126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25" totalsRowDxfId="124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23" totalsRowDxfId="122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21" totalsRowDxfId="120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19" totalsRowDxfId="118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17" totalsRowDxfId="116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15" totalsRowDxfId="114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13" totalsRowDxfId="112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11" totalsRowDxfId="110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09" totalsRowDxfId="108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07" totalsRowDxfId="106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05" totalsRowDxfId="104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8" totalsRowCount="1" headerRowDxfId="103" dataDxfId="102">
  <autoFilter ref="A1:AH7" xr:uid="{92565AF6-51CB-F740-ACD0-AD376C5F8FE0}"/>
  <tableColumns count="34">
    <tableColumn id="1" xr3:uid="{132F1BF4-3588-8A4B-8F98-DB76AAE601DC}" name="Movement" totalsRowLabel="Subtotal" dataDxfId="101" totalsRowDxfId="33"/>
    <tableColumn id="6" xr3:uid="{81ACCF9B-B060-EC46-8372-B215BC3E24E6}" name="Account Secondary" totalsRowLabel="Jodine U" dataDxfId="100" totalsRowDxfId="32"/>
    <tableColumn id="7" xr3:uid="{984BE13D-B3F0-4141-8171-AF453C2EDE3E}" name="2024-05-01" totalsRowFunction="custom" dataDxfId="99" totalsRowDxfId="31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98" totalsRowDxfId="30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97" totalsRowDxfId="29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96" totalsRowDxfId="28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95" totalsRowDxfId="27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94" totalsRowDxfId="26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93" totalsRowDxfId="25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92" totalsRowDxfId="24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91" totalsRowDxfId="23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90" totalsRowDxfId="22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89" totalsRowDxfId="21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88" totalsRowDxfId="20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87" totalsRowDxfId="19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86" totalsRowDxfId="18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85" totalsRowDxfId="17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84" totalsRowDxfId="16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83" totalsRowDxfId="15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82" totalsRowDxfId="14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81" totalsRowDxfId="13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80" totalsRowDxfId="12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79" totalsRowDxfId="11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78" totalsRowDxfId="10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77" totalsRowDxfId="9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76" totalsRowDxfId="8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75" totalsRowDxfId="7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74" totalsRowDxfId="6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73" totalsRowDxfId="5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72" totalsRowDxfId="4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71" totalsRowDxfId="3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70" totalsRowDxfId="2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69" totalsRowDxfId="1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68" totalsRowDxfId="0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67" tableBorderDxfId="66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65" dataDxfId="64">
  <autoFilter ref="A1:J8" xr:uid="{92565AF6-51CB-F740-ACD0-AD376C5F8FE0}"/>
  <tableColumns count="10">
    <tableColumn id="5" xr3:uid="{06CF438D-1451-314D-9C7A-32F80F032CDD}" name="Movement" totalsRowLabel="Subtotal" dataDxfId="63" totalsRowDxfId="62"/>
    <tableColumn id="6" xr3:uid="{D85B60B0-DD6D-9B4D-A4AD-5C8378063533}" name="Account Secondary" totalsRowLabel="Personal Wealth" dataDxfId="61" totalsRowDxfId="60"/>
    <tableColumn id="7" xr3:uid="{1DFF1C23-E2EA-B34F-AE16-2538AE6684FC}" name="2024-05-01" totalsRowFunction="custom" dataDxfId="59" totalsRowDxfId="58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57" totalsRowDxfId="56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55" totalsRowDxfId="54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53" totalsRowDxfId="52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51" totalsRowDxfId="50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49" totalsRowDxfId="48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47" totalsRowDxfId="46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45" totalsRowDxfId="44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K30"/>
  <sheetViews>
    <sheetView showGridLines="0" workbookViewId="0">
      <selection activeCell="G24" sqref="G24"/>
    </sheetView>
  </sheetViews>
  <sheetFormatPr baseColWidth="10" defaultRowHeight="16" x14ac:dyDescent="0.2"/>
  <cols>
    <col min="2" max="2" width="25.6640625" bestFit="1" customWidth="1"/>
    <col min="3" max="3" width="20" hidden="1" customWidth="1"/>
    <col min="4" max="5" width="15.1640625" style="1" hidden="1" customWidth="1"/>
    <col min="6" max="11" width="15.1640625" bestFit="1" customWidth="1"/>
  </cols>
  <sheetData>
    <row r="1" spans="1:11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1" s="2" customFormat="1" ht="22" x14ac:dyDescent="0.3">
      <c r="A2" s="44" t="s">
        <v>50</v>
      </c>
      <c r="B2" s="44" t="s">
        <v>37</v>
      </c>
      <c r="C2" s="24">
        <v>27000</v>
      </c>
      <c r="D2" s="24">
        <v>27000</v>
      </c>
      <c r="E2" s="56">
        <v>21600</v>
      </c>
      <c r="F2" s="24">
        <v>21600</v>
      </c>
      <c r="G2" s="24">
        <v>21600</v>
      </c>
      <c r="H2" s="24">
        <v>21600</v>
      </c>
      <c r="I2" s="24">
        <v>21600</v>
      </c>
      <c r="J2" s="24">
        <v>21600</v>
      </c>
    </row>
    <row r="3" spans="1:11" s="2" customFormat="1" ht="22" x14ac:dyDescent="0.3">
      <c r="A3" s="44" t="s">
        <v>50</v>
      </c>
      <c r="B3" s="44" t="s">
        <v>78</v>
      </c>
      <c r="C3" s="24">
        <v>1325</v>
      </c>
      <c r="D3" s="24">
        <v>1325</v>
      </c>
      <c r="E3" s="24">
        <v>1325</v>
      </c>
      <c r="F3" s="24">
        <v>1325</v>
      </c>
      <c r="G3" s="24">
        <v>1000</v>
      </c>
      <c r="H3" s="24">
        <v>1000</v>
      </c>
      <c r="I3" s="24">
        <v>1000</v>
      </c>
      <c r="J3" s="24">
        <v>1000</v>
      </c>
    </row>
    <row r="4" spans="1:11" s="2" customFormat="1" ht="22" x14ac:dyDescent="0.3">
      <c r="A4" s="55" t="s">
        <v>50</v>
      </c>
      <c r="B4" s="55" t="s">
        <v>36</v>
      </c>
      <c r="C4" s="24"/>
      <c r="D4" s="24"/>
      <c r="E4" s="24"/>
      <c r="F4" s="24">
        <v>750</v>
      </c>
      <c r="G4" s="24">
        <v>1000</v>
      </c>
      <c r="H4" s="24">
        <v>1000</v>
      </c>
      <c r="I4" s="24">
        <v>1000</v>
      </c>
      <c r="J4" s="24">
        <v>1000</v>
      </c>
    </row>
    <row r="5" spans="1:11" s="2" customFormat="1" ht="22" x14ac:dyDescent="0.3">
      <c r="A5" s="44" t="s">
        <v>50</v>
      </c>
      <c r="B5" s="44" t="s">
        <v>16</v>
      </c>
      <c r="C5" s="24">
        <v>7700</v>
      </c>
      <c r="D5" s="24">
        <v>7700</v>
      </c>
      <c r="E5" s="56">
        <v>7000</v>
      </c>
      <c r="F5" s="24">
        <v>6800</v>
      </c>
      <c r="G5" s="24">
        <v>7000</v>
      </c>
      <c r="H5" s="24">
        <v>7000</v>
      </c>
      <c r="I5" s="24">
        <v>7000</v>
      </c>
      <c r="J5" s="24">
        <v>7000</v>
      </c>
    </row>
    <row r="6" spans="1:11" s="3" customFormat="1" ht="22" x14ac:dyDescent="0.3">
      <c r="A6" s="40" t="s">
        <v>51</v>
      </c>
      <c r="B6" s="40" t="s">
        <v>10</v>
      </c>
      <c r="C6" s="41">
        <v>500</v>
      </c>
      <c r="D6" s="41">
        <v>1500</v>
      </c>
      <c r="E6" s="57">
        <v>250</v>
      </c>
      <c r="F6" s="41">
        <v>500</v>
      </c>
      <c r="G6" s="41">
        <v>500</v>
      </c>
      <c r="H6" s="41">
        <v>500</v>
      </c>
      <c r="I6" s="41">
        <v>500</v>
      </c>
      <c r="J6" s="41">
        <v>500</v>
      </c>
      <c r="K6" s="7"/>
    </row>
    <row r="7" spans="1:11" s="3" customFormat="1" ht="22" x14ac:dyDescent="0.3">
      <c r="A7" s="40" t="s">
        <v>51</v>
      </c>
      <c r="B7" s="40" t="s">
        <v>1</v>
      </c>
      <c r="C7" s="41">
        <v>8140</v>
      </c>
      <c r="D7" s="41">
        <v>8140</v>
      </c>
      <c r="E7" s="41">
        <v>8140</v>
      </c>
      <c r="F7" s="41">
        <v>8140</v>
      </c>
      <c r="G7" s="41">
        <v>8140</v>
      </c>
      <c r="H7" s="41">
        <v>8140</v>
      </c>
      <c r="I7" s="41">
        <v>8140</v>
      </c>
      <c r="J7" s="41">
        <v>8140</v>
      </c>
    </row>
    <row r="8" spans="1:11" s="3" customFormat="1" ht="22" x14ac:dyDescent="0.3">
      <c r="A8" s="40" t="s">
        <v>51</v>
      </c>
      <c r="B8" s="40" t="s">
        <v>2</v>
      </c>
      <c r="C8" s="41">
        <v>3500</v>
      </c>
      <c r="D8" s="41">
        <v>3578</v>
      </c>
      <c r="E8" s="57">
        <v>3578</v>
      </c>
      <c r="F8" s="41">
        <v>3578</v>
      </c>
      <c r="G8" s="41">
        <v>3578</v>
      </c>
      <c r="H8" s="41">
        <v>3578</v>
      </c>
      <c r="I8" s="41">
        <v>3578</v>
      </c>
      <c r="J8" s="41">
        <v>3578</v>
      </c>
    </row>
    <row r="9" spans="1:11" s="3" customFormat="1" ht="22" x14ac:dyDescent="0.3">
      <c r="A9" s="40" t="s">
        <v>51</v>
      </c>
      <c r="B9" s="40" t="s">
        <v>3</v>
      </c>
      <c r="C9" s="41">
        <v>3100</v>
      </c>
      <c r="D9" s="41">
        <v>1700</v>
      </c>
      <c r="E9" s="41">
        <v>1820</v>
      </c>
      <c r="F9" s="41">
        <v>1820</v>
      </c>
      <c r="G9" s="41">
        <v>0</v>
      </c>
      <c r="H9" s="41">
        <v>0</v>
      </c>
      <c r="I9" s="41">
        <v>0</v>
      </c>
      <c r="J9" s="41">
        <v>0</v>
      </c>
    </row>
    <row r="10" spans="1:11" s="39" customFormat="1" ht="22" x14ac:dyDescent="0.3">
      <c r="A10" s="40" t="s">
        <v>51</v>
      </c>
      <c r="B10" s="42" t="s">
        <v>4</v>
      </c>
      <c r="C10" s="38">
        <v>4530</v>
      </c>
      <c r="D10" s="38">
        <v>4530</v>
      </c>
      <c r="E10" s="38">
        <v>4530</v>
      </c>
      <c r="F10" s="38">
        <v>4530</v>
      </c>
      <c r="G10" s="38">
        <v>5600</v>
      </c>
      <c r="H10" s="38">
        <v>4530</v>
      </c>
      <c r="I10" s="38">
        <v>4530</v>
      </c>
      <c r="J10" s="38">
        <v>4530</v>
      </c>
    </row>
    <row r="11" spans="1:11" s="39" customFormat="1" ht="22" x14ac:dyDescent="0.3">
      <c r="A11" s="40" t="s">
        <v>51</v>
      </c>
      <c r="B11" s="40" t="s">
        <v>21</v>
      </c>
      <c r="C11" s="41">
        <v>110</v>
      </c>
      <c r="D11" s="41">
        <v>170</v>
      </c>
      <c r="E11" s="41">
        <v>170</v>
      </c>
      <c r="F11" s="41">
        <v>170</v>
      </c>
      <c r="G11" s="41">
        <v>170</v>
      </c>
      <c r="H11" s="41">
        <v>170</v>
      </c>
      <c r="I11" s="41">
        <v>170</v>
      </c>
      <c r="J11" s="41">
        <v>170</v>
      </c>
    </row>
    <row r="12" spans="1:11" s="39" customFormat="1" ht="22" x14ac:dyDescent="0.3">
      <c r="A12" s="40" t="s">
        <v>51</v>
      </c>
      <c r="B12" s="42" t="s">
        <v>5</v>
      </c>
      <c r="C12" s="38">
        <v>117</v>
      </c>
      <c r="D12" s="38">
        <v>117</v>
      </c>
      <c r="E12" s="38">
        <v>117</v>
      </c>
      <c r="F12" s="38">
        <v>117</v>
      </c>
      <c r="G12" s="38">
        <v>117</v>
      </c>
      <c r="H12" s="38">
        <v>117</v>
      </c>
      <c r="I12" s="38">
        <v>117</v>
      </c>
      <c r="J12" s="38">
        <v>117</v>
      </c>
    </row>
    <row r="13" spans="1:11" s="39" customFormat="1" ht="22" x14ac:dyDescent="0.3">
      <c r="A13" s="40" t="s">
        <v>51</v>
      </c>
      <c r="B13" s="40" t="s">
        <v>6</v>
      </c>
      <c r="C13" s="41">
        <v>1050</v>
      </c>
      <c r="D13" s="41">
        <v>988</v>
      </c>
      <c r="E13" s="57">
        <v>988</v>
      </c>
      <c r="F13" s="41">
        <v>988</v>
      </c>
      <c r="G13" s="41">
        <v>988</v>
      </c>
      <c r="H13" s="41">
        <v>988</v>
      </c>
      <c r="I13" s="41">
        <v>988</v>
      </c>
      <c r="J13" s="41">
        <v>988</v>
      </c>
    </row>
    <row r="14" spans="1:11" s="39" customFormat="1" ht="22" x14ac:dyDescent="0.3">
      <c r="A14" s="40" t="s">
        <v>51</v>
      </c>
      <c r="B14" s="42" t="s">
        <v>7</v>
      </c>
      <c r="C14" s="38">
        <v>1200</v>
      </c>
      <c r="D14" s="38">
        <v>560</v>
      </c>
      <c r="E14" s="38">
        <v>560</v>
      </c>
      <c r="F14" s="38">
        <v>560</v>
      </c>
      <c r="G14" s="38">
        <v>560</v>
      </c>
      <c r="H14" s="38">
        <v>560</v>
      </c>
      <c r="I14" s="38">
        <v>560</v>
      </c>
      <c r="J14" s="38">
        <v>560</v>
      </c>
    </row>
    <row r="15" spans="1:11" s="39" customFormat="1" ht="22" x14ac:dyDescent="0.3">
      <c r="A15" s="40" t="s">
        <v>51</v>
      </c>
      <c r="B15" s="40" t="s">
        <v>8</v>
      </c>
      <c r="C15" s="41">
        <v>440</v>
      </c>
      <c r="D15" s="41">
        <v>440</v>
      </c>
      <c r="E15" s="41">
        <v>440</v>
      </c>
      <c r="F15" s="41">
        <v>440</v>
      </c>
      <c r="G15" s="41">
        <v>440</v>
      </c>
      <c r="H15" s="41">
        <v>440</v>
      </c>
      <c r="I15" s="41">
        <v>440</v>
      </c>
      <c r="J15" s="41">
        <v>440</v>
      </c>
    </row>
    <row r="16" spans="1:11" s="39" customFormat="1" ht="22" x14ac:dyDescent="0.3">
      <c r="A16" s="40" t="s">
        <v>51</v>
      </c>
      <c r="B16" s="40" t="s">
        <v>15</v>
      </c>
      <c r="C16" s="41">
        <v>600</v>
      </c>
      <c r="D16" s="41">
        <v>600</v>
      </c>
      <c r="E16" s="41">
        <v>0</v>
      </c>
      <c r="F16" s="41">
        <v>0</v>
      </c>
      <c r="G16" s="41">
        <v>0</v>
      </c>
      <c r="H16" s="41">
        <v>0</v>
      </c>
      <c r="I16" s="41">
        <v>0</v>
      </c>
      <c r="J16" s="41">
        <v>0</v>
      </c>
    </row>
    <row r="17" spans="1:10" s="39" customFormat="1" ht="22" x14ac:dyDescent="0.3">
      <c r="A17" s="40" t="s">
        <v>51</v>
      </c>
      <c r="B17" s="42" t="s">
        <v>13</v>
      </c>
      <c r="C17" s="38">
        <v>3500</v>
      </c>
      <c r="D17" s="38">
        <v>3500</v>
      </c>
      <c r="E17" s="58">
        <v>3500</v>
      </c>
      <c r="F17" s="38">
        <v>3500</v>
      </c>
      <c r="G17" s="38">
        <v>3500</v>
      </c>
      <c r="H17" s="38">
        <v>3500</v>
      </c>
      <c r="I17" s="38">
        <v>3500</v>
      </c>
      <c r="J17" s="38">
        <v>3500</v>
      </c>
    </row>
    <row r="18" spans="1:10" s="39" customFormat="1" ht="22" x14ac:dyDescent="0.3">
      <c r="A18" s="40" t="s">
        <v>51</v>
      </c>
      <c r="B18" s="40" t="s">
        <v>47</v>
      </c>
      <c r="C18" s="41">
        <v>1000</v>
      </c>
      <c r="D18" s="41">
        <v>1000</v>
      </c>
      <c r="E18" s="57">
        <v>1000</v>
      </c>
      <c r="F18" s="41">
        <v>1000</v>
      </c>
      <c r="G18" s="41">
        <v>1000</v>
      </c>
      <c r="H18" s="41">
        <v>1000</v>
      </c>
      <c r="I18" s="41">
        <v>1000</v>
      </c>
      <c r="J18" s="41">
        <v>1000</v>
      </c>
    </row>
    <row r="19" spans="1:10" s="39" customFormat="1" ht="22" x14ac:dyDescent="0.3">
      <c r="A19" s="40" t="s">
        <v>51</v>
      </c>
      <c r="B19" s="42" t="s">
        <v>14</v>
      </c>
      <c r="C19" s="38">
        <v>1000</v>
      </c>
      <c r="D19" s="38">
        <v>1500</v>
      </c>
      <c r="E19" s="58">
        <v>250</v>
      </c>
      <c r="F19" s="38">
        <v>500</v>
      </c>
      <c r="G19" s="38">
        <v>900</v>
      </c>
      <c r="H19" s="38">
        <v>500</v>
      </c>
      <c r="I19" s="38">
        <v>500</v>
      </c>
      <c r="J19" s="38">
        <v>500</v>
      </c>
    </row>
    <row r="20" spans="1:10" s="39" customFormat="1" ht="22" x14ac:dyDescent="0.3">
      <c r="A20" s="40" t="s">
        <v>51</v>
      </c>
      <c r="B20" s="40" t="s">
        <v>79</v>
      </c>
      <c r="C20" s="41">
        <v>5000</v>
      </c>
      <c r="D20" s="41">
        <v>4300</v>
      </c>
      <c r="E20" s="41">
        <v>3000</v>
      </c>
      <c r="F20" s="41">
        <v>3500</v>
      </c>
      <c r="G20" s="41">
        <v>3200</v>
      </c>
      <c r="H20" s="41">
        <v>3800</v>
      </c>
      <c r="I20" s="41">
        <v>3800</v>
      </c>
      <c r="J20" s="41">
        <v>3800</v>
      </c>
    </row>
    <row r="21" spans="1:10" s="39" customFormat="1" ht="22" x14ac:dyDescent="0.3">
      <c r="A21" s="40" t="s">
        <v>51</v>
      </c>
      <c r="B21" s="40" t="s">
        <v>48</v>
      </c>
      <c r="C21" s="41">
        <v>0</v>
      </c>
      <c r="D21" s="41">
        <v>0</v>
      </c>
      <c r="E21" s="41">
        <v>0</v>
      </c>
      <c r="F21" s="41">
        <v>0</v>
      </c>
      <c r="G21" s="41">
        <v>0</v>
      </c>
      <c r="H21" s="41">
        <v>0</v>
      </c>
      <c r="I21" s="41">
        <v>0</v>
      </c>
      <c r="J21" s="41">
        <v>0</v>
      </c>
    </row>
    <row r="22" spans="1:10" s="3" customFormat="1" ht="22" x14ac:dyDescent="0.3">
      <c r="A22" s="40" t="s">
        <v>51</v>
      </c>
      <c r="B22" s="40" t="s">
        <v>36</v>
      </c>
      <c r="C22" s="41">
        <v>500</v>
      </c>
      <c r="D22" s="41">
        <v>200</v>
      </c>
      <c r="E22" s="41"/>
      <c r="F22" s="41">
        <v>0</v>
      </c>
      <c r="G22" s="41">
        <v>0</v>
      </c>
      <c r="H22" s="41">
        <v>0</v>
      </c>
      <c r="I22" s="41">
        <v>0</v>
      </c>
      <c r="J22" s="41">
        <v>0</v>
      </c>
    </row>
    <row r="23" spans="1:10" s="3" customFormat="1" ht="22" x14ac:dyDescent="0.3">
      <c r="A23" s="40" t="s">
        <v>51</v>
      </c>
      <c r="B23" s="42" t="s">
        <v>25</v>
      </c>
      <c r="C23" s="38">
        <v>1000</v>
      </c>
      <c r="D23" s="38">
        <v>1000</v>
      </c>
      <c r="E23" s="38">
        <v>0</v>
      </c>
      <c r="F23" s="38"/>
      <c r="G23" s="38">
        <v>500</v>
      </c>
      <c r="H23" s="38">
        <v>1000</v>
      </c>
      <c r="I23" s="38">
        <v>1000</v>
      </c>
      <c r="J23" s="38">
        <v>1000</v>
      </c>
    </row>
    <row r="24" spans="1:10" s="3" customFormat="1" ht="22" x14ac:dyDescent="0.3">
      <c r="A24" s="40" t="s">
        <v>51</v>
      </c>
      <c r="B24" s="42" t="s">
        <v>46</v>
      </c>
      <c r="C24" s="38">
        <v>200</v>
      </c>
      <c r="D24" s="38">
        <v>200</v>
      </c>
      <c r="E24" s="58">
        <v>200</v>
      </c>
      <c r="F24" s="38">
        <v>200</v>
      </c>
      <c r="G24" s="38">
        <v>200</v>
      </c>
      <c r="H24" s="38">
        <v>200</v>
      </c>
      <c r="I24" s="38">
        <v>200</v>
      </c>
      <c r="J24" s="38">
        <v>200</v>
      </c>
    </row>
    <row r="25" spans="1:10" s="3" customFormat="1" ht="22" x14ac:dyDescent="0.3">
      <c r="A25" s="40" t="s">
        <v>51</v>
      </c>
      <c r="B25" s="42" t="s">
        <v>19</v>
      </c>
      <c r="C25" s="38">
        <v>0</v>
      </c>
      <c r="D25" s="38">
        <v>0</v>
      </c>
      <c r="E25" s="38">
        <v>0</v>
      </c>
      <c r="F25" s="38">
        <v>0</v>
      </c>
      <c r="G25" s="38">
        <v>0</v>
      </c>
      <c r="H25" s="38">
        <v>0</v>
      </c>
      <c r="I25" s="38">
        <v>0</v>
      </c>
      <c r="J25" s="38">
        <v>0</v>
      </c>
    </row>
    <row r="26" spans="1:10" s="3" customFormat="1" ht="22" x14ac:dyDescent="0.3">
      <c r="A26" s="43" t="s">
        <v>51</v>
      </c>
      <c r="B26" s="43" t="s">
        <v>81</v>
      </c>
      <c r="C26" s="41"/>
      <c r="D26" s="41"/>
      <c r="E26" s="57">
        <v>640</v>
      </c>
      <c r="F26" s="41">
        <v>0</v>
      </c>
      <c r="G26" s="41">
        <v>0</v>
      </c>
      <c r="H26" s="41">
        <v>0</v>
      </c>
      <c r="I26" s="41">
        <v>0</v>
      </c>
      <c r="J26" s="41">
        <v>0</v>
      </c>
    </row>
    <row r="27" spans="1:10" s="3" customFormat="1" ht="22" x14ac:dyDescent="0.3">
      <c r="A27" s="43" t="s">
        <v>51</v>
      </c>
      <c r="B27" s="43" t="s">
        <v>83</v>
      </c>
      <c r="C27" s="41"/>
      <c r="D27" s="41"/>
      <c r="E27" s="41">
        <v>600</v>
      </c>
      <c r="F27" s="41">
        <v>600</v>
      </c>
      <c r="G27" s="41"/>
      <c r="H27" s="41"/>
      <c r="I27" s="41"/>
      <c r="J27" s="41"/>
    </row>
    <row r="28" spans="1:10" s="3" customFormat="1" ht="22" x14ac:dyDescent="0.3">
      <c r="A28" s="43" t="s">
        <v>51</v>
      </c>
      <c r="B28" s="43" t="s">
        <v>85</v>
      </c>
      <c r="C28" s="41"/>
      <c r="D28" s="41"/>
      <c r="E28" s="41"/>
      <c r="F28" s="41">
        <v>500</v>
      </c>
      <c r="G28" s="41"/>
      <c r="H28" s="41"/>
      <c r="I28" s="41"/>
      <c r="J28" s="41"/>
    </row>
    <row r="29" spans="1:10" s="3" customFormat="1" ht="22" x14ac:dyDescent="0.3">
      <c r="A29" s="40" t="s">
        <v>51</v>
      </c>
      <c r="B29" s="40" t="s">
        <v>30</v>
      </c>
      <c r="C29" s="41">
        <v>0</v>
      </c>
      <c r="D29" s="41">
        <v>500</v>
      </c>
      <c r="E29" s="41"/>
      <c r="F29" s="41"/>
      <c r="G29" s="41">
        <v>1000</v>
      </c>
      <c r="H29" s="41">
        <v>1000</v>
      </c>
      <c r="I29" s="41">
        <v>1000</v>
      </c>
      <c r="J29" s="41">
        <v>1000</v>
      </c>
    </row>
    <row r="30" spans="1:10" ht="22" x14ac:dyDescent="0.3">
      <c r="A30" s="33" t="s">
        <v>77</v>
      </c>
      <c r="B30" s="33" t="s">
        <v>0</v>
      </c>
      <c r="C30" s="13">
        <f>SUMIF(Table32[[#Data],[#Totals],[Movement]],"Credit", Table32[[#Data],[#Totals],[2024-05-01]])-SUMIF(Table32[[#Data],[#Totals],[Movement]],"Debit", Table32[[#Data],[#Totals],[2024-05-01]])</f>
        <v>538</v>
      </c>
      <c r="D30" s="13">
        <f>SUMIF(Table32[[#Data],[#Totals],[Movement]],"Credit", Table32[[#Data],[#Totals],[2024-06-01]])-SUMIF(Table32[[#Data],[#Totals],[Movement]],"Debit", Table32[[#Data],[#Totals],[2024-06-01]])</f>
        <v>1502</v>
      </c>
      <c r="E30" s="13">
        <f>SUMIF(Table32[[#Data],[#Totals],[Movement]],"Credit", Table32[[#Data],[#Totals],[2024-07-01]])-SUMIF(Table32[[#Data],[#Totals],[Movement]],"Debit", Table32[[#Data],[#Totals],[2024-07-01]])</f>
        <v>142</v>
      </c>
      <c r="F30" s="13">
        <f>SUMIF(Table32[[#Data],[#Totals],[Movement]],"Credit", Table32[[#Data],[#Totals],[2024-08-01]])-SUMIF(Table32[[#Data],[#Totals],[Movement]],"Debit", Table32[[#Data],[#Totals],[2024-08-01]])</f>
        <v>-168</v>
      </c>
      <c r="G30" s="13">
        <f>SUMIF(Table32[[#Data],[#Totals],[Movement]],"Credit", Table32[[#Data],[#Totals],[2024-09-01]])-SUMIF(Table32[[#Data],[#Totals],[Movement]],"Debit", Table32[[#Data],[#Totals],[2024-09-01]])</f>
        <v>207</v>
      </c>
      <c r="H30" s="13">
        <f>SUMIF(Table32[[#Data],[#Totals],[Movement]],"Credit", Table32[[#Data],[#Totals],[2024-10-01]])-SUMIF(Table32[[#Data],[#Totals],[Movement]],"Debit", Table32[[#Data],[#Totals],[2024-10-01]])</f>
        <v>577</v>
      </c>
      <c r="I30" s="13">
        <f>SUMIF(Table32[[#Data],[#Totals],[Movement]],"Credit", Table32[[#Data],[#Totals],[2024-11-01]])-SUMIF(Table32[[#Data],[#Totals],[Movement]],"Debit", Table32[[#Data],[#Totals],[2024-11-01]])</f>
        <v>577</v>
      </c>
      <c r="J30" s="13">
        <f>SUMIF(Table32[[#Data],[#Totals],[Movement]],"Credit", Table32[[#Data],[#Totals],[2024-12-01]])-SUMIF(Table32[[#Data],[#Totals],[Movement]],"Debit", Table32[[#Data],[#Totals],[2024-12-01]])</f>
        <v>577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0"/>
  <sheetViews>
    <sheetView showGridLines="0" workbookViewId="0">
      <selection activeCell="F5" sqref="F5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5" width="15.1640625" hidden="1" customWidth="1"/>
    <col min="6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45" t="s">
        <v>50</v>
      </c>
      <c r="B2" s="45" t="s">
        <v>37</v>
      </c>
      <c r="C2" s="24">
        <v>11000</v>
      </c>
      <c r="D2" s="24">
        <v>11000</v>
      </c>
      <c r="E2" s="24">
        <v>8800</v>
      </c>
      <c r="F2" s="24">
        <v>8800</v>
      </c>
      <c r="G2" s="24">
        <v>8800</v>
      </c>
      <c r="H2" s="24">
        <v>8800</v>
      </c>
      <c r="I2" s="24">
        <v>8800</v>
      </c>
      <c r="J2" s="24">
        <v>8800</v>
      </c>
    </row>
    <row r="3" spans="1:10" s="3" customFormat="1" ht="22" x14ac:dyDescent="0.3">
      <c r="A3" s="40" t="s">
        <v>51</v>
      </c>
      <c r="B3" s="40" t="s">
        <v>9</v>
      </c>
      <c r="C3" s="41">
        <v>2000</v>
      </c>
      <c r="D3" s="41">
        <v>2000</v>
      </c>
      <c r="E3" s="41">
        <v>500</v>
      </c>
      <c r="F3" s="41">
        <v>500</v>
      </c>
      <c r="G3" s="41">
        <v>500</v>
      </c>
      <c r="H3" s="41">
        <v>500</v>
      </c>
      <c r="I3" s="41">
        <v>500</v>
      </c>
      <c r="J3" s="41">
        <v>500</v>
      </c>
    </row>
    <row r="4" spans="1:10" s="3" customFormat="1" ht="22" x14ac:dyDescent="0.3">
      <c r="A4" s="40" t="s">
        <v>51</v>
      </c>
      <c r="B4" s="42" t="s">
        <v>0</v>
      </c>
      <c r="C4" s="38">
        <v>7700</v>
      </c>
      <c r="D4" s="38">
        <v>7700</v>
      </c>
      <c r="E4" s="38">
        <v>7000</v>
      </c>
      <c r="F4" s="38">
        <v>6800</v>
      </c>
      <c r="G4" s="38">
        <v>7000</v>
      </c>
      <c r="H4" s="38">
        <v>7000</v>
      </c>
      <c r="I4" s="38">
        <v>7000</v>
      </c>
      <c r="J4" s="38">
        <v>7000</v>
      </c>
    </row>
    <row r="5" spans="1:10" s="39" customFormat="1" ht="22" x14ac:dyDescent="0.3">
      <c r="A5" s="40" t="s">
        <v>51</v>
      </c>
      <c r="B5" s="42" t="s">
        <v>22</v>
      </c>
      <c r="C5" s="38">
        <v>110</v>
      </c>
      <c r="D5" s="38">
        <v>110</v>
      </c>
      <c r="E5" s="38">
        <v>110</v>
      </c>
      <c r="F5" s="38">
        <v>110</v>
      </c>
      <c r="G5" s="38">
        <v>110</v>
      </c>
      <c r="H5" s="38">
        <v>110</v>
      </c>
      <c r="I5" s="38">
        <v>110</v>
      </c>
      <c r="J5" s="38">
        <v>110</v>
      </c>
    </row>
    <row r="6" spans="1:10" s="39" customFormat="1" ht="22" x14ac:dyDescent="0.3">
      <c r="A6" s="40" t="s">
        <v>51</v>
      </c>
      <c r="B6" s="37" t="s">
        <v>80</v>
      </c>
      <c r="C6" s="38">
        <v>900</v>
      </c>
      <c r="D6" s="38">
        <v>900</v>
      </c>
      <c r="E6" s="38">
        <v>900</v>
      </c>
      <c r="F6" s="38">
        <v>900</v>
      </c>
      <c r="G6" s="38">
        <v>900</v>
      </c>
      <c r="H6" s="38">
        <v>900</v>
      </c>
      <c r="I6" s="38">
        <v>900</v>
      </c>
      <c r="J6" s="38">
        <v>900</v>
      </c>
    </row>
    <row r="7" spans="1:10" s="3" customFormat="1" ht="22" x14ac:dyDescent="0.3">
      <c r="A7" s="40" t="s">
        <v>51</v>
      </c>
      <c r="B7" s="42" t="s">
        <v>18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</row>
    <row r="8" spans="1:10" s="3" customFormat="1" ht="22" x14ac:dyDescent="0.3">
      <c r="A8" s="40" t="s">
        <v>51</v>
      </c>
      <c r="B8" s="43" t="s">
        <v>86</v>
      </c>
      <c r="C8" s="41">
        <v>0</v>
      </c>
      <c r="D8" s="41">
        <v>200</v>
      </c>
      <c r="E8" s="41">
        <v>200</v>
      </c>
      <c r="F8" s="41">
        <v>200</v>
      </c>
      <c r="G8" s="41">
        <v>200</v>
      </c>
      <c r="H8" s="41">
        <v>200</v>
      </c>
      <c r="I8" s="41">
        <v>200</v>
      </c>
      <c r="J8" s="41">
        <v>200</v>
      </c>
    </row>
    <row r="9" spans="1:10" s="3" customFormat="1" ht="22" x14ac:dyDescent="0.3">
      <c r="A9" s="40" t="s">
        <v>51</v>
      </c>
      <c r="B9" s="40" t="s">
        <v>24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</row>
    <row r="10" spans="1:10" s="48" customFormat="1" ht="22" x14ac:dyDescent="0.3">
      <c r="A10" s="46" t="s">
        <v>77</v>
      </c>
      <c r="B10" s="46" t="s">
        <v>16</v>
      </c>
      <c r="C10" s="47">
        <f>SUMIF(Table325[[Movement]:[Movement]],"Credit", Table325[2024-05-01])-SUMIF(Table325[[Movement]:[Movement]],"Debit",Table325[2024-05-01])</f>
        <v>290</v>
      </c>
      <c r="D10" s="47">
        <f>SUMIF(Table325[[Movement]:[Movement]],"Credit", Table325[2024-06-01])-SUMIF(Table325[[Movement]:[Movement]],"Debit",Table325[2024-06-01])</f>
        <v>90</v>
      </c>
      <c r="E10" s="47">
        <f>SUMIF(Table325[[Movement]:[Movement]],"Credit", Table325[2024-07-01])-SUMIF(Table325[[Movement]:[Movement]],"Debit",Table325[2024-07-01])</f>
        <v>90</v>
      </c>
      <c r="F10" s="47">
        <f>SUMIF(Table325[[Movement]:[Movement]],"Credit", Table325[2024-08-01])-SUMIF(Table325[[Movement]:[Movement]],"Debit",Table325[2024-08-01])</f>
        <v>290</v>
      </c>
      <c r="G10" s="47">
        <f>SUMIF(Table325[[Movement]:[Movement]],"Credit", Table325[2024-09-01])-SUMIF(Table325[[Movement]:[Movement]],"Debit",Table325[2024-09-01])</f>
        <v>90</v>
      </c>
      <c r="H10" s="47">
        <f>SUMIF(Table325[[Movement]:[Movement]],"Credit", Table325[2024-10-01])-SUMIF(Table325[[Movement]:[Movement]],"Debit",Table325[2024-10-01])</f>
        <v>90</v>
      </c>
      <c r="I10" s="47">
        <f>SUMIF(Table325[[Movement]:[Movement]],"Credit", Table325[2024-11-01])-SUMIF(Table325[[Movement]:[Movement]],"Debit",Table325[2024-11-01])</f>
        <v>90</v>
      </c>
      <c r="J10" s="47">
        <f>SUMIF(Table325[[Movement]:[Movement]],"Credit", Table325[2024-12-01])-SUMIF(Table325[[Movement]:[Movement]],"Debit",Table325[2024-12-01])</f>
        <v>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5"/>
  <sheetViews>
    <sheetView showGridLines="0" workbookViewId="0">
      <selection activeCell="E3" sqref="E3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10" width="15.1640625" bestFit="1" customWidth="1"/>
  </cols>
  <sheetData>
    <row r="1" spans="1:10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16" t="s">
        <v>50</v>
      </c>
      <c r="B2" s="16" t="s">
        <v>0</v>
      </c>
      <c r="C2" s="24">
        <v>500</v>
      </c>
      <c r="D2" s="24">
        <v>1500</v>
      </c>
      <c r="E2" s="24">
        <v>250</v>
      </c>
      <c r="F2" s="24">
        <v>500</v>
      </c>
      <c r="G2" s="24">
        <v>500</v>
      </c>
      <c r="H2" s="24">
        <v>500</v>
      </c>
      <c r="I2" s="24">
        <v>500</v>
      </c>
      <c r="J2" s="24">
        <v>500</v>
      </c>
    </row>
    <row r="3" spans="1:10" s="4" customFormat="1" ht="22" x14ac:dyDescent="0.3">
      <c r="A3" s="17" t="s">
        <v>51</v>
      </c>
      <c r="B3" s="9" t="s">
        <v>11</v>
      </c>
      <c r="C3" s="10">
        <v>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</row>
    <row r="4" spans="1:10" s="4" customFormat="1" ht="22" x14ac:dyDescent="0.3">
      <c r="A4" s="17" t="s">
        <v>51</v>
      </c>
      <c r="B4" s="11" t="s">
        <v>12</v>
      </c>
      <c r="C4" s="12">
        <v>0</v>
      </c>
      <c r="D4" s="12">
        <v>230</v>
      </c>
      <c r="E4" s="12">
        <v>230</v>
      </c>
      <c r="F4" s="12">
        <v>230</v>
      </c>
      <c r="G4" s="12">
        <v>230</v>
      </c>
      <c r="H4" s="12">
        <v>230</v>
      </c>
      <c r="I4" s="12">
        <v>230</v>
      </c>
      <c r="J4" s="12">
        <v>230</v>
      </c>
    </row>
    <row r="5" spans="1:10" ht="22" x14ac:dyDescent="0.3">
      <c r="A5" s="14" t="s">
        <v>77</v>
      </c>
      <c r="B5" s="33" t="s">
        <v>10</v>
      </c>
      <c r="C5" s="13">
        <f>SUMIF(Table323[[Movement]:[Movement]],"Credit", Table323[2024-05-01])-SUMIF(Table323[[Movement]:[Movement]],"Debit", Table323[2024-05-01])</f>
        <v>500</v>
      </c>
      <c r="D5" s="13">
        <f>SUMIF(Table323[[Movement]:[Movement]],"Credit", Table323[2024-06-01])-SUMIF(Table323[[Movement]:[Movement]],"Debit", Table323[2024-06-01])</f>
        <v>1070</v>
      </c>
      <c r="E5" s="13">
        <f>SUMIF(Table323[[Movement]:[Movement]],"Credit", Table323[2024-07-01])-SUMIF(Table323[[Movement]:[Movement]],"Debit", Table323[2024-07-01])</f>
        <v>-180</v>
      </c>
      <c r="F5" s="13">
        <f>SUMIF(Table323[[Movement]:[Movement]],"Credit", Table323[2024-08-01])-SUMIF(Table323[[Movement]:[Movement]],"Debit", Table323[2024-08-01])</f>
        <v>70</v>
      </c>
      <c r="G5" s="13">
        <f>SUMIF(Table323[[Movement]:[Movement]],"Credit", Table323[2024-09-01])-SUMIF(Table323[[Movement]:[Movement]],"Debit", Table323[2024-09-01])</f>
        <v>70</v>
      </c>
      <c r="H5" s="13">
        <f>SUMIF(Table323[[Movement]:[Movement]],"Credit", Table323[2024-10-01])-SUMIF(Table323[[Movement]:[Movement]],"Debit", Table323[2024-10-01])</f>
        <v>70</v>
      </c>
      <c r="I5" s="13">
        <f>SUMIF(Table323[[Movement]:[Movement]],"Credit", Table323[2024-11-01])-SUMIF(Table323[[Movement]:[Movement]],"Debit", Table323[2024-11-01])</f>
        <v>70</v>
      </c>
      <c r="J5" s="13">
        <f>SUMIF(Table323[[Movement]:[Movement]],"Credit", Table323[2024-12-01])-SUMIF(Table323[[Movement]:[Movement]],"Debit", Table323[2024-12-01])</f>
        <v>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5"/>
  <sheetViews>
    <sheetView workbookViewId="0">
      <selection activeCell="K16" sqref="K16"/>
    </sheetView>
  </sheetViews>
  <sheetFormatPr baseColWidth="10" defaultRowHeight="16" x14ac:dyDescent="0.2"/>
  <cols>
    <col min="2" max="2" width="29.83203125" bestFit="1" customWidth="1"/>
    <col min="3" max="4" width="16.5" hidden="1" customWidth="1"/>
    <col min="5" max="10" width="16.5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ht="22" x14ac:dyDescent="0.3">
      <c r="A2" s="23" t="s">
        <v>50</v>
      </c>
      <c r="B2" s="23" t="s">
        <v>16</v>
      </c>
      <c r="C2" s="22">
        <v>2000</v>
      </c>
      <c r="D2" s="22">
        <v>0</v>
      </c>
      <c r="E2" s="22">
        <v>500</v>
      </c>
      <c r="F2" s="22">
        <v>500</v>
      </c>
      <c r="G2" s="22">
        <v>500</v>
      </c>
      <c r="H2" s="22">
        <v>500</v>
      </c>
      <c r="I2" s="22">
        <v>500</v>
      </c>
      <c r="J2" s="22">
        <v>500</v>
      </c>
    </row>
    <row r="3" spans="1:10" s="3" customFormat="1" ht="22" x14ac:dyDescent="0.3">
      <c r="A3" s="26" t="s">
        <v>51</v>
      </c>
      <c r="B3" s="26" t="s">
        <v>84</v>
      </c>
      <c r="C3" s="53"/>
      <c r="D3" s="53"/>
      <c r="E3" s="53">
        <v>3550</v>
      </c>
      <c r="F3" s="53"/>
      <c r="G3" s="53"/>
      <c r="H3" s="53"/>
      <c r="I3" s="53"/>
      <c r="J3" s="53"/>
    </row>
    <row r="4" spans="1:10" s="3" customFormat="1" ht="22" x14ac:dyDescent="0.3">
      <c r="A4" s="26" t="s">
        <v>51</v>
      </c>
      <c r="B4" s="37" t="s">
        <v>17</v>
      </c>
      <c r="C4" s="38">
        <v>0</v>
      </c>
      <c r="D4" s="38">
        <v>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</row>
    <row r="5" spans="1:10" ht="22" x14ac:dyDescent="0.3">
      <c r="A5" s="33" t="s">
        <v>77</v>
      </c>
      <c r="B5" s="33" t="s">
        <v>9</v>
      </c>
      <c r="C5" s="36">
        <f>SUMIF(Table3254[[Movement]:[Movement]],"Credit", Table3254[2024-05-01])-SUMIF(Table3254[[Movement]:[Movement]],"Debit",Table3254[2024-05-01])</f>
        <v>2000</v>
      </c>
      <c r="D5" s="36">
        <f>SUMIF(Table3254[[Movement]:[Movement]],"Credit", Table3254[2024-06-01])-SUMIF(Table3254[[Movement]:[Movement]],"Debit",Table3254[2024-06-01])</f>
        <v>0</v>
      </c>
      <c r="E5" s="36">
        <f>SUMIF(Table3254[[Movement]:[Movement]],"Credit", Table3254[2024-07-01])-SUMIF(Table3254[[Movement]:[Movement]],"Debit",Table3254[2024-07-01])</f>
        <v>-3050</v>
      </c>
      <c r="F5" s="36">
        <f>SUMIF(Table3254[[Movement]:[Movement]],"Credit", Table3254[2024-08-01])-SUMIF(Table3254[[Movement]:[Movement]],"Debit",Table3254[2024-08-01])</f>
        <v>500</v>
      </c>
      <c r="G5" s="36">
        <f>SUMIF(Table3254[[Movement]:[Movement]],"Credit", Table3254[2024-09-01])-SUMIF(Table3254[[Movement]:[Movement]],"Debit",Table3254[2024-09-01])</f>
        <v>500</v>
      </c>
      <c r="H5" s="36">
        <f>SUMIF(Table3254[[Movement]:[Movement]],"Credit", Table3254[2024-10-01])-SUMIF(Table3254[[Movement]:[Movement]],"Debit",Table3254[2024-10-01])</f>
        <v>500</v>
      </c>
      <c r="I5" s="36">
        <f>SUMIF(Table3254[[Movement]:[Movement]],"Credit", Table3254[2024-11-01])-SUMIF(Table3254[[Movement]:[Movement]],"Debit",Table3254[2024-11-01])</f>
        <v>500</v>
      </c>
      <c r="J5" s="36">
        <f>SUMIF(Table3254[[Movement]:[Movement]],"Credit", Table3254[2024-12-01])-SUMIF(Table3254[[Movement]:[Movement]],"Debit",Table3254[2024-12-01])</f>
        <v>500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dimension ref="A1:AH4"/>
  <sheetViews>
    <sheetView showGridLines="0" workbookViewId="0">
      <selection activeCell="A2" sqref="A2:XFD2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s="2" customFormat="1" ht="22" x14ac:dyDescent="0.3">
      <c r="A2" s="16" t="s">
        <v>50</v>
      </c>
      <c r="B2" s="16" t="s">
        <v>0</v>
      </c>
      <c r="C2" s="8"/>
      <c r="D2" s="8"/>
      <c r="E2" s="8">
        <v>8140</v>
      </c>
      <c r="F2" s="8">
        <v>8140</v>
      </c>
      <c r="G2" s="8">
        <v>8140</v>
      </c>
      <c r="H2" s="8">
        <v>8140</v>
      </c>
      <c r="I2" s="8">
        <v>8140</v>
      </c>
      <c r="J2" s="8">
        <v>8140</v>
      </c>
      <c r="K2" s="8">
        <v>8140</v>
      </c>
      <c r="L2" s="8">
        <v>8140</v>
      </c>
      <c r="M2" s="8">
        <v>8140</v>
      </c>
      <c r="N2" s="8">
        <v>8140</v>
      </c>
      <c r="O2" s="8">
        <v>8140</v>
      </c>
      <c r="P2" s="8">
        <v>8140</v>
      </c>
      <c r="Q2" s="8">
        <v>8140</v>
      </c>
      <c r="R2" s="8">
        <v>8140</v>
      </c>
      <c r="S2" s="8">
        <v>8140</v>
      </c>
      <c r="T2" s="8">
        <v>8140</v>
      </c>
      <c r="U2" s="8">
        <v>8140</v>
      </c>
      <c r="V2" s="8">
        <v>8140</v>
      </c>
      <c r="W2" s="8">
        <v>8140</v>
      </c>
      <c r="X2" s="8">
        <v>8140</v>
      </c>
      <c r="Y2" s="8">
        <v>8140</v>
      </c>
      <c r="Z2" s="8">
        <v>8140</v>
      </c>
      <c r="AA2" s="8">
        <v>8140</v>
      </c>
      <c r="AB2" s="8">
        <v>8140</v>
      </c>
      <c r="AC2" s="8">
        <v>8140</v>
      </c>
      <c r="AD2" s="8">
        <v>8140</v>
      </c>
      <c r="AE2" s="8">
        <v>8140</v>
      </c>
      <c r="AF2" s="8">
        <v>8140</v>
      </c>
      <c r="AG2" s="8">
        <v>8140</v>
      </c>
      <c r="AH2" s="8">
        <v>8140</v>
      </c>
    </row>
    <row r="3" spans="1:34" s="3" customFormat="1" ht="22" x14ac:dyDescent="0.3">
      <c r="A3" s="52" t="s">
        <v>51</v>
      </c>
      <c r="B3" s="26" t="s">
        <v>82</v>
      </c>
      <c r="C3" s="53"/>
      <c r="D3" s="53"/>
      <c r="E3" s="53">
        <v>716601</v>
      </c>
      <c r="F3" s="53"/>
      <c r="G3" s="53"/>
      <c r="H3" s="53"/>
      <c r="I3" s="53"/>
      <c r="J3" s="53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spans="1:34" ht="22" x14ac:dyDescent="0.3">
      <c r="A4" s="25" t="s">
        <v>77</v>
      </c>
      <c r="B4" s="33" t="s">
        <v>1</v>
      </c>
      <c r="C4" s="13">
        <f>SUMIF(Table3289[[Movement]:[Movement]],"Credit", Table3289[2024-05-01])-SUMIF(Table3289[[Movement]:[Movement]],"Debit", Table3289[2024-05-01])</f>
        <v>0</v>
      </c>
      <c r="D4" s="13">
        <f>SUMIF(Table3289[[Movement]:[Movement]],"Credit", Table3289[2024-06-01])-SUMIF(Table3289[[Movement]:[Movement]],"Debit", Table3289[2024-06-01])</f>
        <v>0</v>
      </c>
      <c r="E4" s="13">
        <f>SUMIF(Table3289[[Movement]:[Movement]],"Credit", Table3289[2024-07-01])-SUMIF(Table3289[[Movement]:[Movement]],"Debit", Table3289[2024-07-01])</f>
        <v>-708461</v>
      </c>
      <c r="F4" s="13">
        <f>SUMIF(Table3289[[Movement]:[Movement]],"Credit", Table3289[2024-08-01])-SUMIF(Table3289[[Movement]:[Movement]],"Debit", Table3289[2024-08-01])</f>
        <v>8140</v>
      </c>
      <c r="G4" s="13">
        <f>SUMIF(Table3289[[Movement]:[Movement]],"Credit", Table3289[2024-09-01])-SUMIF(Table3289[[Movement]:[Movement]],"Debit", Table3289[2024-09-01])</f>
        <v>8140</v>
      </c>
      <c r="H4" s="13">
        <f>SUMIF(Table3289[[Movement]:[Movement]],"Credit", Table3289[2024-10-01])-SUMIF(Table3289[[Movement]:[Movement]],"Debit", Table3289[2024-10-01])</f>
        <v>8140</v>
      </c>
      <c r="I4" s="13">
        <f>SUMIF(Table3289[[Movement]:[Movement]],"Credit", Table3289[2024-11-01])-SUMIF(Table3289[[Movement]:[Movement]],"Debit", Table3289[2024-11-01])</f>
        <v>8140</v>
      </c>
      <c r="J4" s="13">
        <f>SUMIF(Table3289[[Movement]:[Movement]],"Credit", Table3289[2024-12-01])-SUMIF(Table3289[[Movement]:[Movement]],"Debit", Table3289[2024-12-01])</f>
        <v>8140</v>
      </c>
      <c r="K4" s="13">
        <f>SUMIF(Table3289[[Movement]:[Movement]],"Credit", Table3289[2025-01-01])-SUMIF(Table3289[[Movement]:[Movement]],"Debit", Table3289[2025-01-01])</f>
        <v>8140</v>
      </c>
      <c r="L4" s="13">
        <f>SUMIF(Table3289[[Movement]:[Movement]],"Credit", Table3289[2025-02-01])-SUMIF(Table3289[[Movement]:[Movement]],"Debit", Table3289[2025-02-01])</f>
        <v>8140</v>
      </c>
      <c r="M4" s="13">
        <f>SUMIF(Table3289[[Movement]:[Movement]],"Credit", Table3289[2025-03-01])-SUMIF(Table3289[[Movement]:[Movement]],"Debit", Table3289[2025-03-01])</f>
        <v>8140</v>
      </c>
      <c r="N4" s="13">
        <f>SUMIF(Table3289[[Movement]:[Movement]],"Credit", Table3289[2025-04-01])-SUMIF(Table3289[[Movement]:[Movement]],"Debit", Table3289[2025-04-01])</f>
        <v>8140</v>
      </c>
      <c r="O4" s="13">
        <f>SUMIF(Table3289[[Movement]:[Movement]],"Credit", Table3289[2025-05-01])-SUMIF(Table3289[[Movement]:[Movement]],"Debit", Table3289[2025-05-01])</f>
        <v>8140</v>
      </c>
      <c r="P4" s="13">
        <f>SUMIF(Table3289[[Movement]:[Movement]],"Credit", Table3289[2025-06-01])-SUMIF(Table3289[[Movement]:[Movement]],"Debit", Table3289[2025-06-01])</f>
        <v>8140</v>
      </c>
      <c r="Q4" s="13">
        <f>SUMIF(Table3289[[Movement]:[Movement]],"Credit", Table3289[2025-07-01])-SUMIF(Table3289[[Movement]:[Movement]],"Debit", Table3289[2025-07-01])</f>
        <v>8140</v>
      </c>
      <c r="R4" s="13">
        <f>SUMIF(Table3289[[Movement]:[Movement]],"Credit", Table3289[2025-08-01])-SUMIF(Table3289[[Movement]:[Movement]],"Debit", Table3289[2025-08-01])</f>
        <v>8140</v>
      </c>
      <c r="S4" s="13">
        <f>SUMIF(Table3289[[Movement]:[Movement]],"Credit", Table3289[2025-09-01])-SUMIF(Table3289[[Movement]:[Movement]],"Debit", Table3289[2025-09-01])</f>
        <v>8140</v>
      </c>
      <c r="T4" s="13">
        <f>SUMIF(Table3289[[Movement]:[Movement]],"Credit", Table3289[2025-10-01])-SUMIF(Table3289[[Movement]:[Movement]],"Debit", Table3289[2025-10-01])</f>
        <v>8140</v>
      </c>
      <c r="U4" s="13">
        <f>SUMIF(Table3289[[Movement]:[Movement]],"Credit", Table3289[2025-11-01])-SUMIF(Table3289[[Movement]:[Movement]],"Debit", Table3289[2025-11-01])</f>
        <v>8140</v>
      </c>
      <c r="V4" s="13">
        <f>SUMIF(Table3289[[Movement]:[Movement]],"Credit", Table3289[2025-12-01])-SUMIF(Table3289[[Movement]:[Movement]],"Debit", Table3289[2025-12-01])</f>
        <v>8140</v>
      </c>
      <c r="W4" s="13">
        <f>SUMIF(Table3289[[Movement]:[Movement]],"Credit", Table3289[2026-01-01])-SUMIF(Table3289[[Movement]:[Movement]],"Debit", Table3289[2026-01-01])</f>
        <v>8140</v>
      </c>
      <c r="X4" s="13">
        <f>SUMIF(Table3289[[Movement]:[Movement]],"Credit", Table3289[2026-02-01])-SUMIF(Table3289[[Movement]:[Movement]],"Debit", Table3289[2026-02-01])</f>
        <v>8140</v>
      </c>
      <c r="Y4" s="13">
        <f>SUMIF(Table3289[[Movement]:[Movement]],"Credit", Table3289[2026-03-01])-SUMIF(Table3289[[Movement]:[Movement]],"Debit", Table3289[2026-03-01])</f>
        <v>8140</v>
      </c>
      <c r="Z4" s="13">
        <f>SUMIF(Table3289[[Movement]:[Movement]],"Credit", Table3289[2026-04-01])-SUMIF(Table3289[[Movement]:[Movement]],"Debit", Table3289[2026-04-01])</f>
        <v>8140</v>
      </c>
      <c r="AA4" s="13">
        <f>SUMIF(Table3289[[Movement]:[Movement]],"Credit", Table3289[2026-05-01])-SUMIF(Table3289[[Movement]:[Movement]],"Debit", Table3289[2026-05-01])</f>
        <v>8140</v>
      </c>
      <c r="AB4" s="13">
        <f>SUMIF(Table3289[[Movement]:[Movement]],"Credit", Table3289[2026-06-01])-SUMIF(Table3289[[Movement]:[Movement]],"Debit", Table3289[2026-06-01])</f>
        <v>8140</v>
      </c>
      <c r="AC4" s="13">
        <f>SUMIF(Table3289[[Movement]:[Movement]],"Credit", Table3289[2026-07-01])-SUMIF(Table3289[[Movement]:[Movement]],"Debit", Table3289[2026-07-01])</f>
        <v>8140</v>
      </c>
      <c r="AD4" s="13">
        <f>SUMIF(Table3289[[Movement]:[Movement]],"Credit", Table3289[2026-08-01])-SUMIF(Table3289[[Movement]:[Movement]],"Debit", Table3289[2026-08-01])</f>
        <v>8140</v>
      </c>
      <c r="AE4" s="13">
        <f>SUMIF(Table3289[[Movement]:[Movement]],"Credit", Table3289[2026-09-01])-SUMIF(Table3289[[Movement]:[Movement]],"Debit", Table3289[2026-09-01])</f>
        <v>8140</v>
      </c>
      <c r="AF4" s="13">
        <f>SUMIF(Table3289[[Movement]:[Movement]],"Credit", Table3289[2026-10-01])-SUMIF(Table3289[[Movement]:[Movement]],"Debit", Table3289[2026-10-01])</f>
        <v>8140</v>
      </c>
      <c r="AG4" s="13">
        <f>SUMIF(Table3289[[Movement]:[Movement]],"Credit", Table3289[2026-11-01])-SUMIF(Table3289[[Movement]:[Movement]],"Debit", Table3289[2026-11-01])</f>
        <v>8140</v>
      </c>
      <c r="AH4" s="13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8"/>
  <sheetViews>
    <sheetView showGridLines="0" tabSelected="1" topLeftCell="B1" workbookViewId="0">
      <selection activeCell="H5" sqref="H5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ht="22" x14ac:dyDescent="0.3">
      <c r="A2" s="16" t="s">
        <v>50</v>
      </c>
      <c r="B2" s="16" t="s">
        <v>36</v>
      </c>
      <c r="C2" s="8">
        <v>1000</v>
      </c>
      <c r="D2" s="8">
        <v>1000</v>
      </c>
      <c r="E2" s="8">
        <v>750</v>
      </c>
      <c r="F2" s="8">
        <v>250</v>
      </c>
      <c r="G2" s="8">
        <v>750</v>
      </c>
      <c r="H2" s="8">
        <v>750</v>
      </c>
      <c r="I2" s="8">
        <v>750</v>
      </c>
      <c r="J2" s="8">
        <v>750</v>
      </c>
      <c r="K2" s="8">
        <v>1000</v>
      </c>
      <c r="L2" s="8">
        <v>1000</v>
      </c>
      <c r="M2" s="8">
        <v>1000</v>
      </c>
      <c r="N2" s="8">
        <v>1000</v>
      </c>
      <c r="O2" s="8">
        <v>1000</v>
      </c>
      <c r="P2" s="8">
        <v>1000</v>
      </c>
      <c r="Q2" s="8">
        <v>1000</v>
      </c>
      <c r="R2" s="8">
        <v>1000</v>
      </c>
      <c r="S2" s="8">
        <v>1000</v>
      </c>
      <c r="T2" s="8">
        <v>1000</v>
      </c>
      <c r="U2" s="8">
        <v>1000</v>
      </c>
      <c r="V2" s="8">
        <v>1000</v>
      </c>
      <c r="W2" s="8">
        <v>1000</v>
      </c>
      <c r="X2" s="8">
        <v>1000</v>
      </c>
      <c r="Y2" s="8">
        <v>1000</v>
      </c>
      <c r="Z2" s="8">
        <v>1000</v>
      </c>
      <c r="AA2" s="8">
        <v>1000</v>
      </c>
      <c r="AB2" s="8">
        <v>1000</v>
      </c>
      <c r="AC2" s="8">
        <v>1000</v>
      </c>
      <c r="AD2" s="8">
        <v>1000</v>
      </c>
      <c r="AE2" s="8">
        <v>1000</v>
      </c>
      <c r="AF2" s="8">
        <v>1000</v>
      </c>
      <c r="AG2" s="8"/>
      <c r="AH2" s="8"/>
    </row>
    <row r="3" spans="1:34" s="2" customFormat="1" ht="22" x14ac:dyDescent="0.3">
      <c r="A3" s="16" t="s">
        <v>50</v>
      </c>
      <c r="B3" s="16" t="s">
        <v>0</v>
      </c>
      <c r="C3" s="8">
        <v>1000</v>
      </c>
      <c r="D3" s="8">
        <v>1000</v>
      </c>
      <c r="E3" s="8"/>
      <c r="F3" s="8"/>
      <c r="G3" s="8">
        <v>500</v>
      </c>
      <c r="H3" s="8">
        <v>1000</v>
      </c>
      <c r="I3" s="8">
        <v>1000</v>
      </c>
      <c r="J3" s="8">
        <v>1000</v>
      </c>
      <c r="K3" s="8">
        <v>5000</v>
      </c>
      <c r="L3" s="8">
        <v>5000</v>
      </c>
      <c r="M3" s="8">
        <v>5000</v>
      </c>
      <c r="N3" s="8">
        <v>5000</v>
      </c>
      <c r="O3" s="8">
        <v>5000</v>
      </c>
      <c r="P3" s="8">
        <v>5000</v>
      </c>
      <c r="Q3" s="8">
        <v>6000</v>
      </c>
      <c r="R3" s="8">
        <v>6000</v>
      </c>
      <c r="S3" s="8">
        <v>6000</v>
      </c>
      <c r="T3" s="8">
        <v>6000</v>
      </c>
      <c r="U3" s="8">
        <v>6000</v>
      </c>
      <c r="V3" s="8">
        <v>6000</v>
      </c>
      <c r="W3" s="8">
        <v>6000</v>
      </c>
      <c r="X3" s="8">
        <v>6000</v>
      </c>
      <c r="Y3" s="8">
        <v>6000</v>
      </c>
      <c r="Z3" s="8">
        <v>6000</v>
      </c>
      <c r="AA3" s="8">
        <v>6000</v>
      </c>
      <c r="AB3" s="8">
        <v>6000</v>
      </c>
      <c r="AC3" s="8">
        <v>6000</v>
      </c>
      <c r="AD3" s="8">
        <v>6000</v>
      </c>
      <c r="AE3" s="8">
        <v>6000</v>
      </c>
      <c r="AF3" s="8">
        <v>6000</v>
      </c>
      <c r="AG3" s="8"/>
      <c r="AH3" s="8"/>
    </row>
    <row r="4" spans="1:34" s="3" customFormat="1" ht="22" x14ac:dyDescent="0.3">
      <c r="A4" s="52" t="s">
        <v>51</v>
      </c>
      <c r="B4" s="26" t="s">
        <v>34</v>
      </c>
      <c r="C4" s="53">
        <v>10800</v>
      </c>
      <c r="D4" s="53">
        <v>5400</v>
      </c>
      <c r="E4" s="53">
        <v>5400</v>
      </c>
      <c r="F4" s="53">
        <v>5400</v>
      </c>
      <c r="G4" s="53">
        <v>5400</v>
      </c>
      <c r="H4" s="53">
        <v>5400</v>
      </c>
      <c r="I4" s="53"/>
      <c r="J4" s="53"/>
      <c r="K4" s="54">
        <v>5500</v>
      </c>
      <c r="L4" s="54">
        <v>5500</v>
      </c>
      <c r="M4" s="54">
        <v>5500</v>
      </c>
      <c r="N4" s="54">
        <v>5500</v>
      </c>
      <c r="O4" s="54">
        <v>5500</v>
      </c>
      <c r="P4" s="54">
        <v>5500</v>
      </c>
      <c r="Q4" s="54">
        <v>5500</v>
      </c>
      <c r="R4" s="54">
        <v>5500</v>
      </c>
      <c r="S4" s="54">
        <v>5500</v>
      </c>
      <c r="T4" s="54">
        <v>5500</v>
      </c>
      <c r="U4" s="54"/>
      <c r="V4" s="54"/>
      <c r="W4" s="54">
        <v>5600</v>
      </c>
      <c r="X4" s="54">
        <v>5600</v>
      </c>
      <c r="Y4" s="54">
        <v>5600</v>
      </c>
      <c r="Z4" s="54">
        <v>5600</v>
      </c>
      <c r="AA4" s="54">
        <v>5600</v>
      </c>
      <c r="AB4" s="54">
        <v>5600</v>
      </c>
      <c r="AC4" s="54">
        <v>5600</v>
      </c>
      <c r="AD4" s="54">
        <v>5600</v>
      </c>
      <c r="AE4" s="54">
        <v>5600</v>
      </c>
      <c r="AF4" s="54">
        <v>5600</v>
      </c>
      <c r="AG4" s="54"/>
      <c r="AH4" s="54"/>
    </row>
    <row r="5" spans="1:34" s="3" customFormat="1" ht="22" x14ac:dyDescent="0.3">
      <c r="A5" s="52" t="s">
        <v>51</v>
      </c>
      <c r="B5" s="26" t="s">
        <v>26</v>
      </c>
      <c r="C5" s="53">
        <v>0</v>
      </c>
      <c r="D5" s="53"/>
      <c r="E5" s="53"/>
      <c r="F5" s="53"/>
      <c r="G5" s="53"/>
      <c r="H5" s="53"/>
      <c r="I5" s="53"/>
      <c r="J5" s="53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spans="1:34" s="3" customFormat="1" ht="22" x14ac:dyDescent="0.3">
      <c r="A6" s="52" t="s">
        <v>51</v>
      </c>
      <c r="B6" s="26" t="s">
        <v>33</v>
      </c>
      <c r="C6" s="53">
        <v>500</v>
      </c>
      <c r="D6" s="53"/>
      <c r="E6" s="53"/>
      <c r="F6" s="53"/>
      <c r="G6" s="53"/>
      <c r="H6" s="53"/>
      <c r="I6" s="53"/>
      <c r="J6" s="53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spans="1:34" s="3" customFormat="1" ht="22" x14ac:dyDescent="0.3">
      <c r="A7" s="52" t="s">
        <v>51</v>
      </c>
      <c r="B7" s="26" t="s">
        <v>35</v>
      </c>
      <c r="C7" s="53"/>
      <c r="D7" s="53"/>
      <c r="E7" s="53"/>
      <c r="F7" s="53"/>
      <c r="G7" s="53"/>
      <c r="H7" s="53"/>
      <c r="I7" s="53"/>
      <c r="J7" s="53"/>
      <c r="K7" s="54">
        <v>22000</v>
      </c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>
        <v>23000</v>
      </c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spans="1:34" ht="22" x14ac:dyDescent="0.3">
      <c r="A8" s="25" t="s">
        <v>77</v>
      </c>
      <c r="B8" s="33" t="s">
        <v>25</v>
      </c>
      <c r="C8" s="13">
        <f>SUMIF(Table328[[Movement]:[Movement]],"Credit", Table328[2024-05-01])-SUMIF(Table328[[Movement]:[Movement]],"Debit", Table328[2024-05-01])</f>
        <v>-9300</v>
      </c>
      <c r="D8" s="13">
        <f>SUMIF(Table328[[Movement]:[Movement]],"Credit", Table328[2024-06-01])-SUMIF(Table328[[Movement]:[Movement]],"Debit", Table328[2024-06-01])</f>
        <v>-3400</v>
      </c>
      <c r="E8" s="13">
        <f>SUMIF(Table328[[Movement]:[Movement]],"Credit", Table328[2024-07-01])-SUMIF(Table328[[Movement]:[Movement]],"Debit", Table328[2024-07-01])</f>
        <v>-4650</v>
      </c>
      <c r="F8" s="13">
        <f>SUMIF(Table328[[Movement]:[Movement]],"Credit", Table328[2024-08-01])-SUMIF(Table328[[Movement]:[Movement]],"Debit", Table328[2024-08-01])</f>
        <v>-5150</v>
      </c>
      <c r="G8" s="13">
        <f>SUMIF(Table328[[Movement]:[Movement]],"Credit", Table328[2024-09-01])-SUMIF(Table328[[Movement]:[Movement]],"Debit", Table328[2024-09-01])</f>
        <v>-4150</v>
      </c>
      <c r="H8" s="13">
        <f>SUMIF(Table328[[Movement]:[Movement]],"Credit", Table328[2024-10-01])-SUMIF(Table328[[Movement]:[Movement]],"Debit", Table328[2024-10-01])</f>
        <v>-3650</v>
      </c>
      <c r="I8" s="13">
        <f>SUMIF(Table328[[Movement]:[Movement]],"Credit", Table328[2024-11-01])-SUMIF(Table328[[Movement]:[Movement]],"Debit", Table328[2024-11-01])</f>
        <v>1750</v>
      </c>
      <c r="J8" s="13">
        <f>SUMIF(Table328[[Movement]:[Movement]],"Credit", Table328[2024-12-01])-SUMIF(Table328[[Movement]:[Movement]],"Debit", Table328[2024-12-01])</f>
        <v>1750</v>
      </c>
      <c r="K8" s="13">
        <f>SUMIF(Table328[[Movement]:[Movement]],"Credit", Table328[2025-01-01])-SUMIF(Table328[[Movement]:[Movement]],"Debit", Table328[2025-01-01])</f>
        <v>-21500</v>
      </c>
      <c r="L8" s="13">
        <f>SUMIF(Table328[[Movement]:[Movement]],"Credit", Table328[2025-02-01])-SUMIF(Table328[[Movement]:[Movement]],"Debit", Table328[2025-02-01])</f>
        <v>500</v>
      </c>
      <c r="M8" s="13">
        <f>SUMIF(Table328[[Movement]:[Movement]],"Credit", Table328[2025-03-01])-SUMIF(Table328[[Movement]:[Movement]],"Debit", Table328[2025-03-01])</f>
        <v>500</v>
      </c>
      <c r="N8" s="13">
        <f>SUMIF(Table328[[Movement]:[Movement]],"Credit", Table328[2025-04-01])-SUMIF(Table328[[Movement]:[Movement]],"Debit", Table328[2025-04-01])</f>
        <v>500</v>
      </c>
      <c r="O8" s="13">
        <f>SUMIF(Table328[[Movement]:[Movement]],"Credit", Table328[2025-05-01])-SUMIF(Table328[[Movement]:[Movement]],"Debit", Table328[2025-05-01])</f>
        <v>500</v>
      </c>
      <c r="P8" s="13">
        <f>SUMIF(Table328[[Movement]:[Movement]],"Credit", Table328[2025-06-01])-SUMIF(Table328[[Movement]:[Movement]],"Debit", Table328[2025-06-01])</f>
        <v>500</v>
      </c>
      <c r="Q8" s="13">
        <f>SUMIF(Table328[[Movement]:[Movement]],"Credit", Table328[2025-07-01])-SUMIF(Table328[[Movement]:[Movement]],"Debit", Table328[2025-07-01])</f>
        <v>1500</v>
      </c>
      <c r="R8" s="13">
        <f>SUMIF(Table328[[Movement]:[Movement]],"Credit", Table328[2025-08-01])-SUMIF(Table328[[Movement]:[Movement]],"Debit", Table328[2025-08-01])</f>
        <v>1500</v>
      </c>
      <c r="S8" s="13">
        <f>SUMIF(Table328[[Movement]:[Movement]],"Credit", Table328[2025-09-01])-SUMIF(Table328[[Movement]:[Movement]],"Debit", Table328[2025-09-01])</f>
        <v>1500</v>
      </c>
      <c r="T8" s="13">
        <f>SUMIF(Table328[[Movement]:[Movement]],"Credit", Table328[2025-10-01])-SUMIF(Table328[[Movement]:[Movement]],"Debit", Table328[2025-10-01])</f>
        <v>1500</v>
      </c>
      <c r="U8" s="13">
        <f>SUMIF(Table328[[Movement]:[Movement]],"Credit", Table328[2025-11-01])-SUMIF(Table328[[Movement]:[Movement]],"Debit", Table328[2025-11-01])</f>
        <v>7000</v>
      </c>
      <c r="V8" s="13">
        <f>SUMIF(Table328[[Movement]:[Movement]],"Credit", Table328[2025-12-01])-SUMIF(Table328[[Movement]:[Movement]],"Debit", Table328[2025-12-01])</f>
        <v>7000</v>
      </c>
      <c r="W8" s="13">
        <f>SUMIF(Table328[[Movement]:[Movement]],"Credit", Table328[2026-01-01])-SUMIF(Table328[[Movement]:[Movement]],"Debit", Table328[2026-01-01])</f>
        <v>-21600</v>
      </c>
      <c r="X8" s="13">
        <f>SUMIF(Table328[[Movement]:[Movement]],"Credit", Table328[2026-02-01])-SUMIF(Table328[[Movement]:[Movement]],"Debit", Table328[2026-02-01])</f>
        <v>1400</v>
      </c>
      <c r="Y8" s="13">
        <f>SUMIF(Table328[[Movement]:[Movement]],"Credit", Table328[2026-03-01])-SUMIF(Table328[[Movement]:[Movement]],"Debit", Table328[2026-03-01])</f>
        <v>1400</v>
      </c>
      <c r="Z8" s="13">
        <f>SUMIF(Table328[[Movement]:[Movement]],"Credit", Table328[2026-04-01])-SUMIF(Table328[[Movement]:[Movement]],"Debit", Table328[2026-04-01])</f>
        <v>1400</v>
      </c>
      <c r="AA8" s="13">
        <f>SUMIF(Table328[[Movement]:[Movement]],"Credit", Table328[2026-05-01])-SUMIF(Table328[[Movement]:[Movement]],"Debit", Table328[2026-05-01])</f>
        <v>1400</v>
      </c>
      <c r="AB8" s="13">
        <f>SUMIF(Table328[[Movement]:[Movement]],"Credit", Table328[2026-06-01])-SUMIF(Table328[[Movement]:[Movement]],"Debit", Table328[2026-06-01])</f>
        <v>1400</v>
      </c>
      <c r="AC8" s="13">
        <f>SUMIF(Table328[[Movement]:[Movement]],"Credit", Table328[2026-07-01])-SUMIF(Table328[[Movement]:[Movement]],"Debit", Table328[2026-07-01])</f>
        <v>1400</v>
      </c>
      <c r="AD8" s="13">
        <f>SUMIF(Table328[[Movement]:[Movement]],"Credit", Table328[2026-08-01])-SUMIF(Table328[[Movement]:[Movement]],"Debit", Table328[2026-08-01])</f>
        <v>1400</v>
      </c>
      <c r="AE8" s="13">
        <f>SUMIF(Table328[[Movement]:[Movement]],"Credit", Table328[2026-09-01])-SUMIF(Table328[[Movement]:[Movement]],"Debit", Table328[2026-09-01])</f>
        <v>1400</v>
      </c>
      <c r="AF8" s="13">
        <f>SUMIF(Table328[[Movement]:[Movement]],"Credit", Table328[2026-10-01])-SUMIF(Table328[[Movement]:[Movement]],"Debit", Table328[2026-10-01])</f>
        <v>1400</v>
      </c>
      <c r="AG8" s="13">
        <f>SUMIF(Table328[[Movement]:[Movement]],"Credit", Table328[2026-11-01])-SUMIF(Table328[[Movement]:[Movement]],"Debit", Table328[2026-11-01])</f>
        <v>0</v>
      </c>
      <c r="AH8" s="13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4" t="s">
        <v>23</v>
      </c>
      <c r="B1" s="35" t="s">
        <v>49</v>
      </c>
      <c r="C1" s="28" t="s">
        <v>38</v>
      </c>
      <c r="D1" s="28" t="s">
        <v>39</v>
      </c>
      <c r="E1" s="28" t="s">
        <v>41</v>
      </c>
      <c r="F1" s="28" t="s">
        <v>40</v>
      </c>
      <c r="G1" s="28" t="s">
        <v>42</v>
      </c>
      <c r="H1" s="28" t="s">
        <v>43</v>
      </c>
      <c r="I1" s="28" t="s">
        <v>44</v>
      </c>
      <c r="J1" s="28" t="s">
        <v>45</v>
      </c>
    </row>
    <row r="2" spans="1:10" ht="22" x14ac:dyDescent="0.3">
      <c r="A2" s="29" t="s">
        <v>50</v>
      </c>
      <c r="B2" s="29" t="s">
        <v>0</v>
      </c>
      <c r="C2" s="30">
        <v>200</v>
      </c>
      <c r="D2" s="30">
        <v>200</v>
      </c>
      <c r="E2" s="30">
        <v>200</v>
      </c>
      <c r="F2" s="30">
        <v>200</v>
      </c>
      <c r="G2" s="30">
        <v>200</v>
      </c>
      <c r="H2" s="30">
        <v>200</v>
      </c>
      <c r="I2" s="30">
        <v>200</v>
      </c>
      <c r="J2" s="30">
        <v>200</v>
      </c>
    </row>
    <row r="3" spans="1:10" ht="22" x14ac:dyDescent="0.3">
      <c r="A3" s="31" t="s">
        <v>51</v>
      </c>
      <c r="B3" s="31" t="s">
        <v>17</v>
      </c>
      <c r="C3" s="32">
        <v>0</v>
      </c>
      <c r="D3" s="32" t="s">
        <v>76</v>
      </c>
      <c r="E3" s="32" t="s">
        <v>76</v>
      </c>
      <c r="F3" s="32" t="s">
        <v>76</v>
      </c>
      <c r="G3" s="32" t="s">
        <v>76</v>
      </c>
      <c r="H3" s="32" t="s">
        <v>76</v>
      </c>
      <c r="I3" s="32" t="s">
        <v>76</v>
      </c>
      <c r="J3" s="32" t="s">
        <v>76</v>
      </c>
    </row>
    <row r="4" spans="1:10" s="50" customFormat="1" ht="22" x14ac:dyDescent="0.3">
      <c r="A4" s="49" t="s">
        <v>77</v>
      </c>
      <c r="B4" s="49" t="s">
        <v>46</v>
      </c>
      <c r="C4" s="51">
        <f>SUMIF(Table5[[Movement]:[Movement]],"Credit", Table5[2024-05-01])-SUMIF(Table5[[Movement]:[Movement]],"Debit", Table5[2024-05-01])</f>
        <v>200</v>
      </c>
      <c r="D4" s="51">
        <f>SUMIF(Table5[[Movement]:[Movement]],"Credit", Table5[2024-06-01])-SUMIF(Table5[[Movement]:[Movement]],"Debit", Table5[2024-06-01])</f>
        <v>200</v>
      </c>
      <c r="E4" s="51">
        <f>SUMIF(Table5[[Movement]:[Movement]],"Credit", Table5[2024-07-01])-SUMIF(Table5[[Movement]:[Movement]],"Debit", Table5[2024-07-01])</f>
        <v>200</v>
      </c>
      <c r="F4" s="51">
        <f>SUMIF(Table5[[Movement]:[Movement]],"Credit", Table5[2024-08-01])-SUMIF(Table5[[Movement]:[Movement]],"Debit", Table5[2024-08-01])</f>
        <v>200</v>
      </c>
      <c r="G4" s="51">
        <f>SUMIF(Table5[[Movement]:[Movement]],"Credit", Table5[2024-09-01])-SUMIF(Table5[[Movement]:[Movement]],"Debit", Table5[2024-09-01])</f>
        <v>200</v>
      </c>
      <c r="H4" s="51">
        <f>SUMIF(Table5[[Movement]:[Movement]],"Credit", Table5[2024-10-01])-SUMIF(Table5[[Movement]:[Movement]],"Debit", Table5[2024-10-01])</f>
        <v>200</v>
      </c>
      <c r="I4" s="51">
        <f>SUMIF(Table5[[Movement]:[Movement]],"Credit", Table5[2024-11-01])-SUMIF(Table5[[Movement]:[Movement]],"Debit", Table5[2024-11-01])</f>
        <v>200</v>
      </c>
      <c r="J4" s="51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23" t="s">
        <v>50</v>
      </c>
      <c r="B2" s="16" t="s">
        <v>0</v>
      </c>
      <c r="C2" s="8"/>
      <c r="D2" s="8">
        <v>500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</row>
    <row r="3" spans="1:10" s="20" customFormat="1" ht="22" x14ac:dyDescent="0.3">
      <c r="A3" s="17" t="s">
        <v>51</v>
      </c>
      <c r="B3" s="18" t="s">
        <v>28</v>
      </c>
      <c r="C3" s="19"/>
      <c r="D3" s="19">
        <v>1000</v>
      </c>
      <c r="E3" s="19">
        <v>1000</v>
      </c>
      <c r="F3" s="19"/>
      <c r="G3" s="19"/>
      <c r="H3" s="19"/>
      <c r="I3" s="19"/>
      <c r="J3" s="19"/>
    </row>
    <row r="4" spans="1:10" s="20" customFormat="1" ht="22" x14ac:dyDescent="0.3">
      <c r="A4" s="17" t="s">
        <v>51</v>
      </c>
      <c r="B4" s="18" t="s">
        <v>29</v>
      </c>
      <c r="C4" s="19"/>
      <c r="D4" s="19"/>
      <c r="E4" s="19">
        <v>4000</v>
      </c>
      <c r="F4" s="19"/>
      <c r="G4" s="19"/>
      <c r="H4" s="19"/>
      <c r="I4" s="19"/>
      <c r="J4" s="19"/>
    </row>
    <row r="5" spans="1:10" s="20" customFormat="1" ht="22" x14ac:dyDescent="0.3">
      <c r="A5" s="17" t="s">
        <v>51</v>
      </c>
      <c r="B5" s="18" t="s">
        <v>31</v>
      </c>
      <c r="C5" s="19"/>
      <c r="D5" s="19"/>
      <c r="E5" s="19"/>
      <c r="F5" s="19"/>
      <c r="G5" s="19">
        <v>500</v>
      </c>
      <c r="H5" s="19"/>
      <c r="I5" s="19"/>
      <c r="J5" s="19"/>
    </row>
    <row r="6" spans="1:10" s="20" customFormat="1" ht="22" x14ac:dyDescent="0.3">
      <c r="A6" s="17" t="s">
        <v>51</v>
      </c>
      <c r="B6" s="18" t="s">
        <v>27</v>
      </c>
      <c r="C6" s="19"/>
      <c r="D6" s="19"/>
      <c r="E6" s="19"/>
      <c r="F6" s="19"/>
      <c r="G6" s="19"/>
      <c r="H6" s="19">
        <v>5000</v>
      </c>
      <c r="I6" s="19"/>
      <c r="J6" s="19"/>
    </row>
    <row r="7" spans="1:10" s="20" customFormat="1" ht="22" x14ac:dyDescent="0.3">
      <c r="A7" s="17" t="s">
        <v>51</v>
      </c>
      <c r="B7" s="18" t="s">
        <v>20</v>
      </c>
      <c r="C7" s="19"/>
      <c r="D7" s="19"/>
      <c r="E7" s="19">
        <v>3000</v>
      </c>
      <c r="F7" s="19"/>
      <c r="G7" s="19"/>
      <c r="H7" s="19"/>
      <c r="I7" s="19"/>
      <c r="J7" s="19"/>
    </row>
    <row r="8" spans="1:10" s="4" customFormat="1" ht="22" x14ac:dyDescent="0.3">
      <c r="A8" s="17" t="s">
        <v>51</v>
      </c>
      <c r="B8" s="17" t="s">
        <v>32</v>
      </c>
      <c r="C8" s="10"/>
      <c r="D8" s="10"/>
      <c r="E8" s="10"/>
      <c r="F8" s="10">
        <v>500</v>
      </c>
      <c r="G8" s="10"/>
      <c r="H8" s="10"/>
      <c r="I8" s="10"/>
      <c r="J8" s="10"/>
    </row>
    <row r="9" spans="1:10" ht="22" x14ac:dyDescent="0.3">
      <c r="A9" s="33" t="s">
        <v>77</v>
      </c>
      <c r="B9" s="33" t="s">
        <v>30</v>
      </c>
      <c r="C9" s="36">
        <f>SUMIF(Table32810[[Movement]:[Movement]],"Credit", Table32810[2024-05-01])-SUMIF(Table32810[[Movement]:[Movement]],"Debit", Table32810[2024-05-01])</f>
        <v>0</v>
      </c>
      <c r="D9" s="36">
        <f>SUMIF(Table32810[[Movement]:[Movement]],"Credit", Table32810[2024-06-01])-SUMIF(Table32810[[Movement]:[Movement]],"Debit", Table32810[2024-06-01])</f>
        <v>-500</v>
      </c>
      <c r="E9" s="36">
        <f>SUMIF(Table32810[[Movement]:[Movement]],"Credit", Table32810[2024-07-01])-SUMIF(Table32810[[Movement]:[Movement]],"Debit", Table32810[2024-07-01])</f>
        <v>-8000</v>
      </c>
      <c r="F9" s="36">
        <f>SUMIF(Table32810[[Movement]:[Movement]],"Credit", Table32810[2024-08-01])-SUMIF(Table32810[[Movement]:[Movement]],"Debit", Table32810[2024-08-01])</f>
        <v>-500</v>
      </c>
      <c r="G9" s="36">
        <f>SUMIF(Table32810[[Movement]:[Movement]],"Credit", Table32810[2024-09-01])-SUMIF(Table32810[[Movement]:[Movement]],"Debit", Table32810[2024-09-01])</f>
        <v>-500</v>
      </c>
      <c r="H9" s="36">
        <f>SUMIF(Table32810[[Movement]:[Movement]],"Credit", Table32810[2024-10-01])-SUMIF(Table32810[[Movement]:[Movement]],"Debit", Table32810[2024-10-01])</f>
        <v>-5000</v>
      </c>
      <c r="I9" s="36">
        <f>SUMIF(Table32810[[Movement]:[Movement]],"Credit", Table32810[2024-11-01])-SUMIF(Table32810[[Movement]:[Movement]],"Debit", Table32810[2024-11-01])</f>
        <v>0</v>
      </c>
      <c r="J9" s="36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Jeanre Transactional</vt:lpstr>
      <vt:lpstr>Bernice Transactional</vt:lpstr>
      <vt:lpstr>Jeanre Credit Card</vt:lpstr>
      <vt:lpstr>Bernice Credit Card</vt:lpstr>
      <vt:lpstr>Home Loan</vt:lpstr>
      <vt:lpstr>Jodine U</vt:lpstr>
      <vt:lpstr>Emergency</vt:lpstr>
      <vt:lpstr>Personal Wealth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2024-08-11T10:55:45Z</dcterms:modified>
</cp:coreProperties>
</file>