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-Repos/ftrack/source files/"/>
    </mc:Choice>
  </mc:AlternateContent>
  <xr:revisionPtr revIDLastSave="0" documentId="13_ncr:1_{CA5BD103-9647-8C4F-BCFE-7F40524739FC}" xr6:coauthVersionLast="47" xr6:coauthVersionMax="47" xr10:uidLastSave="{00000000-0000-0000-0000-000000000000}"/>
  <bookViews>
    <workbookView xWindow="0" yWindow="500" windowWidth="35840" windowHeight="21900" activeTab="1" xr2:uid="{F25DD163-696E-F842-A897-5E899A2812A7}"/>
  </bookViews>
  <sheets>
    <sheet name="Jeanre Transactional" sheetId="11" r:id="rId1"/>
    <sheet name="Dec 2025 calcs" sheetId="27" r:id="rId2"/>
    <sheet name="Bernice Transactional" sheetId="20" r:id="rId3"/>
    <sheet name="Jeanre Credit Card" sheetId="19" r:id="rId4"/>
    <sheet name="Bernice Credit Card" sheetId="21" r:id="rId5"/>
    <sheet name="Home Loan" sheetId="26" r:id="rId6"/>
    <sheet name="Jodine U" sheetId="12" r:id="rId7"/>
    <sheet name="Emergency" sheetId="22" r:id="rId8"/>
    <sheet name="Personal Wealth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7" l="1"/>
  <c r="C19" i="27"/>
  <c r="K11" i="20"/>
  <c r="B19" i="27"/>
  <c r="K35" i="11"/>
  <c r="I35" i="11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D5" i="21"/>
  <c r="E5" i="21"/>
  <c r="F5" i="21"/>
  <c r="G5" i="21"/>
  <c r="H5" i="21"/>
  <c r="I5" i="21"/>
  <c r="J5" i="21"/>
  <c r="C5" i="21"/>
  <c r="D11" i="20"/>
  <c r="E11" i="20"/>
  <c r="F11" i="20"/>
  <c r="G11" i="20"/>
  <c r="H11" i="20"/>
  <c r="I11" i="20"/>
  <c r="J11" i="20"/>
  <c r="C11" i="20"/>
  <c r="D9" i="14"/>
  <c r="E9" i="14"/>
  <c r="F9" i="14"/>
  <c r="G9" i="14"/>
  <c r="H9" i="14"/>
  <c r="I9" i="14"/>
  <c r="J9" i="14"/>
  <c r="C9" i="14"/>
  <c r="C4" i="22"/>
  <c r="D4" i="22"/>
  <c r="E4" i="22"/>
  <c r="F4" i="22"/>
  <c r="G4" i="22"/>
  <c r="H4" i="22"/>
  <c r="I4" i="22"/>
  <c r="J4" i="2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C9" i="12"/>
  <c r="E6" i="19"/>
  <c r="F6" i="19"/>
  <c r="G6" i="19"/>
  <c r="H6" i="19"/>
  <c r="I6" i="19"/>
  <c r="J6" i="19"/>
  <c r="D6" i="19"/>
  <c r="C6" i="19"/>
  <c r="C35" i="11"/>
  <c r="J35" i="11"/>
  <c r="H35" i="11"/>
  <c r="G35" i="11"/>
  <c r="F35" i="11"/>
  <c r="E35" i="11"/>
  <c r="D35" i="11"/>
</calcChain>
</file>

<file path=xl/sharedStrings.xml><?xml version="1.0" encoding="utf-8"?>
<sst xmlns="http://schemas.openxmlformats.org/spreadsheetml/2006/main" count="314" uniqueCount="106">
  <si>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</si>
  <si>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</si>
  <si>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</si>
  <si>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</si>
  <si>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</si>
  <si>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</si>
  <si>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</si>
  <si>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</si>
  <si>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</si>
  <si>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Bernice Credit Card</t>
  </si>
  <si>
    <t>Jeanre Credit Card</t>
  </si>
  <si>
    <t>Netflix</t>
  </si>
  <si>
    <t>Apple One</t>
  </si>
  <si>
    <t>Municipal Account</t>
  </si>
  <si>
    <t>Fuel</t>
  </si>
  <si>
    <t>Jansie</t>
  </si>
  <si>
    <t>Bernice Transactional</t>
  </si>
  <si>
    <t>Other</t>
  </si>
  <si>
    <t>Bernice Retirement</t>
  </si>
  <si>
    <t>Jeanre Retirement</t>
  </si>
  <si>
    <t>Clothing</t>
  </si>
  <si>
    <t>Netstar</t>
  </si>
  <si>
    <t>Geely Insurance</t>
  </si>
  <si>
    <t>Movement</t>
  </si>
  <si>
    <t>Home and Vehicle Savings</t>
  </si>
  <si>
    <t>Jodine U</t>
  </si>
  <si>
    <t>Stationary</t>
  </si>
  <si>
    <t>Bernice Eyes</t>
  </si>
  <si>
    <t>Daniel Bachelors</t>
  </si>
  <si>
    <t>Suzuki Maintenance</t>
  </si>
  <si>
    <t>Personal Wealth</t>
  </si>
  <si>
    <t>Daniel Wedding</t>
  </si>
  <si>
    <t>Ian Wedding</t>
  </si>
  <si>
    <t>Jodine Deneysville visit</t>
  </si>
  <si>
    <t>CTU</t>
  </si>
  <si>
    <t>CTU Deposit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</si>
  <si>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</si>
  <si>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</si>
  <si>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</si>
  <si>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</si>
  <si>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</si>
  <si>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</si>
  <si>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</si>
  <si>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</si>
  <si>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</si>
  <si>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</si>
  <si>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</si>
  <si>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</si>
  <si>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</si>
  <si>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</si>
  <si>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</si>
  <si>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</si>
  <si>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</si>
  <si>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</si>
  <si>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</si>
  <si>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</si>
  <si>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</si>
  <si>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</si>
  <si>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</si>
  <si>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</si>
  <si>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</si>
  <si>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</si>
  <si>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</si>
  <si>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</si>
  <si>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</si>
  <si>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</si>
  <si>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</si>
  <si>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</si>
  <si>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</si>
  <si>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</si>
  <si>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</si>
  <si>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</si>
  <si>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</si>
  <si>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</si>
  <si>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</si>
  <si>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2026-05-01</t>
  </si>
  <si>
    <t xml:space="preserve"> R                    -  </t>
  </si>
  <si>
    <t>Subtotal</t>
  </si>
  <si>
    <t>Bicycle Claims</t>
  </si>
  <si>
    <t>Running Costs</t>
  </si>
  <si>
    <t>Medical</t>
  </si>
  <si>
    <t>Vehicle Licenses</t>
  </si>
  <si>
    <t>Budget Retained Balance</t>
  </si>
  <si>
    <t>Comic Con</t>
  </si>
  <si>
    <t>Bulk Meat</t>
  </si>
  <si>
    <t>Tax</t>
  </si>
  <si>
    <t>Bernice Personal Savings</t>
  </si>
  <si>
    <t>Tax Refund</t>
  </si>
  <si>
    <t>Vape</t>
  </si>
  <si>
    <t>Gaming</t>
  </si>
  <si>
    <t>Retained Balance</t>
  </si>
  <si>
    <t>Accounts</t>
  </si>
  <si>
    <t>Events</t>
  </si>
  <si>
    <t>things to pay</t>
  </si>
  <si>
    <t>amount to pay</t>
  </si>
  <si>
    <t>no-choice</t>
  </si>
  <si>
    <t>2024-12-02</t>
  </si>
  <si>
    <t>previous month insurance</t>
  </si>
  <si>
    <t>cash</t>
  </si>
  <si>
    <t>jodine</t>
  </si>
  <si>
    <t>save</t>
  </si>
  <si>
    <t>Jan Account</t>
  </si>
  <si>
    <t>jan spend</t>
  </si>
  <si>
    <t>feb</t>
  </si>
  <si>
    <t>march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</si>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</sst>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name val="Aptos Narrow"/>
      <scheme val="minor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rgb="FF000000"/>
      <name val="Aptos Narrow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4EA72E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color rgb="FF7030A0"/>
      <name val="Aptos Narrow"/>
      <scheme val="minor"/>
    </font>
    <font>
      <b/>
      <sz val="16"/>
      <color rgb="FFFFFF00"/>
      <name val="Aptos Narrow"/>
      <scheme val="minor"/>
    </font>
    <font>
      <b/>
      <sz val="16"/>
      <name val="Aptos Narrow"/>
      <family val="2"/>
      <scheme val="minor"/>
    </font>
    <font>
      <b/>
      <sz val="16"/>
      <color rgb="FFFF0000"/>
      <name val="Aptos Narrow"/>
      <scheme val="minor"/>
    </font>
    <font>
      <sz val="11"/>
      <color rgb="FF464646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8FFF77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1" fillId="0" borderId="2" xfId="0" applyFont="1" applyBorder="1"/>
    <xf numFmtId="0" fontId="1" fillId="0" borderId="3" xfId="0" applyFont="1" applyBorder="1"/>
    <xf numFmtId="44" fontId="6" fillId="2" borderId="0" xfId="0" applyNumberFormat="1" applyFont="1" applyFill="1"/>
    <xf numFmtId="0" fontId="7" fillId="4" borderId="0" xfId="0" applyFont="1" applyFill="1"/>
    <xf numFmtId="44" fontId="8" fillId="4" borderId="0" xfId="0" applyNumberFormat="1" applyFont="1" applyFill="1"/>
    <xf numFmtId="0" fontId="7" fillId="5" borderId="0" xfId="0" applyFont="1" applyFill="1"/>
    <xf numFmtId="44" fontId="8" fillId="5" borderId="0" xfId="0" applyNumberFormat="1" applyFont="1" applyFill="1"/>
    <xf numFmtId="44" fontId="6" fillId="6" borderId="0" xfId="0" applyNumberFormat="1" applyFont="1" applyFill="1"/>
    <xf numFmtId="0" fontId="5" fillId="7" borderId="0" xfId="0" applyFont="1" applyFill="1"/>
    <xf numFmtId="0" fontId="1" fillId="0" borderId="1" xfId="0" applyFont="1" applyBorder="1"/>
    <xf numFmtId="0" fontId="9" fillId="2" borderId="0" xfId="0" applyFont="1" applyFill="1"/>
    <xf numFmtId="0" fontId="10" fillId="4" borderId="0" xfId="0" applyFont="1" applyFill="1"/>
    <xf numFmtId="0" fontId="9" fillId="4" borderId="0" xfId="0" applyFont="1" applyFill="1"/>
    <xf numFmtId="44" fontId="6" fillId="4" borderId="0" xfId="0" applyNumberFormat="1" applyFont="1" applyFill="1"/>
    <xf numFmtId="0" fontId="0" fillId="4" borderId="0" xfId="0" applyFill="1"/>
    <xf numFmtId="49" fontId="1" fillId="0" borderId="1" xfId="0" applyNumberFormat="1" applyFont="1" applyBorder="1"/>
    <xf numFmtId="44" fontId="12" fillId="2" borderId="0" xfId="0" applyNumberFormat="1" applyFont="1" applyFill="1"/>
    <xf numFmtId="0" fontId="9" fillId="2" borderId="4" xfId="0" applyFont="1" applyFill="1" applyBorder="1"/>
    <xf numFmtId="44" fontId="8" fillId="2" borderId="0" xfId="0" applyNumberFormat="1" applyFont="1" applyFill="1"/>
    <xf numFmtId="0" fontId="9" fillId="7" borderId="0" xfId="0" applyFont="1" applyFill="1"/>
    <xf numFmtId="0" fontId="9" fillId="3" borderId="0" xfId="0" applyFont="1" applyFill="1"/>
    <xf numFmtId="49" fontId="14" fillId="0" borderId="6" xfId="0" applyNumberFormat="1" applyFont="1" applyBorder="1"/>
    <xf numFmtId="49" fontId="14" fillId="0" borderId="1" xfId="0" applyNumberFormat="1" applyFont="1" applyBorder="1"/>
    <xf numFmtId="0" fontId="15" fillId="8" borderId="4" xfId="0" applyFont="1" applyFill="1" applyBorder="1"/>
    <xf numFmtId="44" fontId="16" fillId="8" borderId="0" xfId="0" applyNumberFormat="1" applyFont="1" applyFill="1"/>
    <xf numFmtId="0" fontId="15" fillId="9" borderId="0" xfId="0" applyFont="1" applyFill="1"/>
    <xf numFmtId="44" fontId="17" fillId="9" borderId="0" xfId="0" applyNumberFormat="1" applyFont="1" applyFill="1"/>
    <xf numFmtId="0" fontId="9" fillId="6" borderId="0" xfId="0" applyFont="1" applyFill="1"/>
    <xf numFmtId="0" fontId="14" fillId="0" borderId="7" xfId="0" applyFont="1" applyBorder="1"/>
    <xf numFmtId="0" fontId="14" fillId="0" borderId="1" xfId="0" applyFont="1" applyBorder="1"/>
    <xf numFmtId="44" fontId="6" fillId="6" borderId="2" xfId="0" applyNumberFormat="1" applyFont="1" applyFill="1" applyBorder="1"/>
    <xf numFmtId="0" fontId="10" fillId="10" borderId="0" xfId="0" applyFont="1" applyFill="1"/>
    <xf numFmtId="44" fontId="8" fillId="10" borderId="0" xfId="0" applyNumberFormat="1" applyFont="1" applyFill="1"/>
    <xf numFmtId="0" fontId="3" fillId="3" borderId="0" xfId="0" applyFont="1" applyFill="1"/>
    <xf numFmtId="0" fontId="7" fillId="3" borderId="0" xfId="0" applyFont="1" applyFill="1"/>
    <xf numFmtId="44" fontId="8" fillId="3" borderId="0" xfId="0" applyNumberFormat="1" applyFont="1" applyFill="1"/>
    <xf numFmtId="0" fontId="7" fillId="10" borderId="0" xfId="0" applyFont="1" applyFill="1"/>
    <xf numFmtId="0" fontId="10" fillId="3" borderId="0" xfId="0" applyFont="1" applyFill="1"/>
    <xf numFmtId="0" fontId="7" fillId="2" borderId="0" xfId="0" applyFont="1" applyFill="1"/>
    <xf numFmtId="0" fontId="7" fillId="2" borderId="4" xfId="0" applyFont="1" applyFill="1" applyBorder="1"/>
    <xf numFmtId="0" fontId="7" fillId="6" borderId="8" xfId="0" applyFont="1" applyFill="1" applyBorder="1"/>
    <xf numFmtId="44" fontId="8" fillId="6" borderId="8" xfId="0" applyNumberFormat="1" applyFont="1" applyFill="1" applyBorder="1"/>
    <xf numFmtId="0" fontId="0" fillId="0" borderId="8" xfId="0" applyBorder="1"/>
    <xf numFmtId="0" fontId="9" fillId="11" borderId="0" xfId="0" applyFont="1" applyFill="1"/>
    <xf numFmtId="0" fontId="0" fillId="11" borderId="0" xfId="0" applyFill="1"/>
    <xf numFmtId="44" fontId="13" fillId="11" borderId="5" xfId="0" applyNumberFormat="1" applyFont="1" applyFill="1" applyBorder="1"/>
    <xf numFmtId="0" fontId="9" fillId="10" borderId="0" xfId="0" applyFont="1" applyFill="1"/>
    <xf numFmtId="44" fontId="6" fillId="3" borderId="0" xfId="0" applyNumberFormat="1" applyFont="1" applyFill="1"/>
    <xf numFmtId="44" fontId="11" fillId="12" borderId="0" xfId="0" applyNumberFormat="1" applyFont="1" applyFill="1"/>
    <xf numFmtId="0" fontId="10" fillId="2" borderId="0" xfId="0" applyFont="1" applyFill="1"/>
    <xf numFmtId="44" fontId="18" fillId="2" borderId="0" xfId="0" applyNumberFormat="1" applyFont="1" applyFill="1"/>
    <xf numFmtId="44" fontId="18" fillId="3" borderId="0" xfId="0" applyNumberFormat="1" applyFont="1" applyFill="1"/>
    <xf numFmtId="44" fontId="18" fillId="10" borderId="0" xfId="0" applyNumberFormat="1" applyFont="1" applyFill="1"/>
    <xf numFmtId="44" fontId="19" fillId="3" borderId="0" xfId="0" applyNumberFormat="1" applyFont="1" applyFill="1"/>
    <xf numFmtId="0" fontId="9" fillId="5" borderId="0" xfId="0" applyFont="1" applyFill="1"/>
    <xf numFmtId="44" fontId="20" fillId="10" borderId="0" xfId="0" applyNumberFormat="1" applyFont="1" applyFill="1"/>
    <xf numFmtId="0" fontId="9" fillId="13" borderId="0" xfId="0" applyFont="1" applyFill="1"/>
    <xf numFmtId="44" fontId="11" fillId="14" borderId="0" xfId="0" applyNumberFormat="1" applyFont="1" applyFill="1"/>
    <xf numFmtId="44" fontId="21" fillId="3" borderId="0" xfId="0" applyNumberFormat="1" applyFont="1" applyFill="1"/>
    <xf numFmtId="0" fontId="22" fillId="15" borderId="9" xfId="0" applyFont="1" applyFill="1" applyBorder="1" applyAlignment="1">
      <alignment vertical="top"/>
    </xf>
    <xf numFmtId="4" fontId="22" fillId="16" borderId="9" xfId="0" applyNumberFormat="1" applyFont="1" applyFill="1" applyBorder="1" applyAlignment="1">
      <alignment vertical="top"/>
    </xf>
    <xf numFmtId="4" fontId="0" fillId="0" borderId="0" xfId="0" applyNumberFormat="1"/>
    <xf numFmtId="0" fontId="22" fillId="15" borderId="0" xfId="0" applyFont="1" applyFill="1" applyBorder="1" applyAlignment="1">
      <alignment vertical="top"/>
    </xf>
    <xf numFmtId="4" fontId="22" fillId="16" borderId="0" xfId="0" applyNumberFormat="1" applyFont="1" applyFill="1" applyBorder="1" applyAlignment="1">
      <alignment vertical="top"/>
    </xf>
    <xf numFmtId="44" fontId="1" fillId="0" borderId="0" xfId="0" applyNumberFormat="1" applyFont="1"/>
  </cellXfs>
  <cellStyles count="1">
    <cellStyle name="Normal" xfId="0" builtinId="0"/>
  </cellStyles>
  <dxfs count="22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63981-326C-D143-B66A-6C003C4E74A8}" name="Table32" displayName="Table32" ref="A1:J35" totalsRowCount="1" headerRowDxfId="222" dataDxfId="221">
  <autoFilter ref="A1:J34" xr:uid="{92565AF6-51CB-F740-ACD0-AD376C5F8FE0}"/>
  <tableColumns count="10">
    <tableColumn id="5" xr3:uid="{8651B483-0F4C-9745-8034-DD83AE8DA141}" name="Movement" totalsRowLabel="Subtotal" dataDxfId="220" totalsRowDxfId="219"/>
    <tableColumn id="6" xr3:uid="{2F7AE88F-4B40-4240-BF3E-94BC56EB2208}" name="Account Secondary" totalsRowLabel="Jeanre Transactional" dataDxfId="218" totalsRowDxfId="217"/>
    <tableColumn id="7" xr3:uid="{ADA98953-117B-F145-A74B-A985F167B6BC}" name="2024-05-01" totalsRowFunction="custom" dataDxfId="216" totalsRowDxfId="215">
      <totalsRowFormula>SUMIF(Table32[[#Data],[#Totals],[Movement]],"Credit", Table32[[#Data],[#Totals],[2024-05-01]])-SUMIF(Table32[[#Data],[#Totals],[Movement]],"Debit", Table32[[#Data],[#Totals],[2024-05-01]])</totalsRowFormula>
    </tableColumn>
    <tableColumn id="8" xr3:uid="{D1B507DF-9E64-6B42-ADC6-664BF896B5B8}" name="2024-06-01" totalsRowFunction="custom" dataDxfId="214" totalsRowDxfId="213">
      <totalsRowFormula>SUMIF(Table32[[#Data],[#Totals],[Movement]],"Credit", Table32[[#Data],[#Totals],[2024-06-01]])-SUMIF(Table32[[#Data],[#Totals],[Movement]],"Debit", Table32[[#Data],[#Totals],[2024-06-01]])</totalsRowFormula>
    </tableColumn>
    <tableColumn id="9" xr3:uid="{C4FB259E-8339-874F-86A0-1B451C317784}" name="2024-07-01" totalsRowFunction="custom" dataDxfId="212" totalsRowDxfId="211">
      <totalsRowFormula>SUMIF(Table32[[#Data],[#Totals],[Movement]],"Credit", Table32[[#Data],[#Totals],[2024-07-01]])-SUMIF(Table32[[#Data],[#Totals],[Movement]],"Debit", Table32[[#Data],[#Totals],[2024-07-01]])</totalsRowFormula>
    </tableColumn>
    <tableColumn id="10" xr3:uid="{7CAB3A22-E21F-C14F-81D6-E08D7B5AAF27}" name="2024-08-01" totalsRowFunction="custom" dataDxfId="210" totalsRowDxfId="209">
      <totalsRowFormula>SUMIF(Table32[[#Data],[#Totals],[Movement]],"Credit", Table32[[#Data],[#Totals],[2024-08-01]])-SUMIF(Table32[[#Data],[#Totals],[Movement]],"Debit", Table32[[#Data],[#Totals],[2024-08-01]])</totalsRowFormula>
    </tableColumn>
    <tableColumn id="11" xr3:uid="{A858D8D8-0330-2A48-9F9F-65775EFA0FA2}" name="2024-09-01" totalsRowFunction="custom" dataDxfId="208" totalsRowDxfId="207">
      <totalsRowFormula>SUMIF(Table32[[#Data],[#Totals],[Movement]],"Credit", Table32[[#Data],[#Totals],[2024-09-01]])-SUMIF(Table32[[#Data],[#Totals],[Movement]],"Debit", Table32[[#Data],[#Totals],[2024-09-01]])</totalsRowFormula>
    </tableColumn>
    <tableColumn id="12" xr3:uid="{272E93CF-FAFA-2340-9C46-83694C73D7CE}" name="2024-10-01" totalsRowFunction="custom" dataDxfId="206" totalsRowDxfId="205">
      <totalsRowFormula>SUMIF(Table32[[#Data],[#Totals],[Movement]],"Credit", Table32[[#Data],[#Totals],[2024-10-01]])-SUMIF(Table32[[#Data],[#Totals],[Movement]],"Debit", Table32[[#Data],[#Totals],[2024-10-01]])</totalsRowFormula>
    </tableColumn>
    <tableColumn id="13" xr3:uid="{7E46E0A7-4F44-7B4D-A98B-07E6BFFF5704}" name="2024-11-01" totalsRowFunction="custom" dataDxfId="204" totalsRowDxfId="203">
      <totalsRowFormula>SUMIF(Table32[[#Data],[#Totals],[Movement]],"Credit", Table32[[#Data],[#Totals],[2024-11-01]])-SUMIF(Table32[[#Data],[#Totals],[Movement]],"Debit", Table32[[#Data],[#Totals],[2024-11-01]])</totalsRowFormula>
    </tableColumn>
    <tableColumn id="14" xr3:uid="{3415A647-D2D3-BE4C-A006-2DADF61AE0D7}" name="2024-12-01" totalsRowFunction="custom" dataDxfId="202" totalsRowDxfId="201">
      <totalsRowFormula>SUMIF(Table32[[#Data],[#Totals],[Movement]],"Credit", Table32[[#Data],[#Totals],[2024-12-01]])-SUMIF(Table32[[#Data],[#Totals],[Movement]],"Debit", Table32[[#Data],[#Totals],[2024-12-01]])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DA390-7C62-034C-B072-5AE198A0EE1C}" name="Table325" displayName="Table325" ref="A1:K11" totalsRowShown="0" headerRowDxfId="200" dataDxfId="199">
  <autoFilter ref="A1:K11" xr:uid="{92565AF6-51CB-F740-ACD0-AD376C5F8FE0}"/>
  <tableColumns count="11">
    <tableColumn id="5" xr3:uid="{0BB631CD-7A04-8A42-B7DB-927BAF556EEE}" name="Movement" dataDxfId="198"/>
    <tableColumn id="6" xr3:uid="{F2B17D4B-E397-234D-B50E-5D377954B9CE}" name="Account Secondary" dataDxfId="197"/>
    <tableColumn id="7" xr3:uid="{224B2C86-CE9C-9740-8863-A79E9BA6474C}" name="2024-05-01" dataDxfId="196"/>
    <tableColumn id="8" xr3:uid="{86C20A53-81CA-5C44-94E5-DFEF4FEBDB46}" name="2024-06-01" dataDxfId="195"/>
    <tableColumn id="9" xr3:uid="{7A5EB71F-2A37-D94A-A511-CB581024F945}" name="2024-07-01" dataDxfId="194"/>
    <tableColumn id="10" xr3:uid="{4323FC88-E3C5-C942-A248-8725F58D05F1}" name="2024-08-01" dataDxfId="193"/>
    <tableColumn id="11" xr3:uid="{A67EE3D4-5BA4-CB4C-A243-EC07A75B9A2A}" name="2024-09-01" dataDxfId="192"/>
    <tableColumn id="12" xr3:uid="{D8311E55-3FCF-5646-9D4B-8E41AACE8122}" name="2024-10-01" dataDxfId="191"/>
    <tableColumn id="13" xr3:uid="{1068DD40-0163-AB4F-BD01-F087C1DA52FC}" name="2024-11-01" dataDxfId="190"/>
    <tableColumn id="14" xr3:uid="{1979ACD9-F9BF-B64F-8FAE-C5E1FD6DB39A}" name="2024-12-01" dataDxfId="189"/>
    <tableColumn id="1" xr3:uid="{07FFDC36-868C-D84B-8B40-7B280F43AA14}" name="2024-12-02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98D46-04BB-0942-B50C-97F8D19A9484}" name="Table323" displayName="Table323" ref="A1:J6" totalsRowShown="0" headerRowDxfId="188" dataDxfId="187">
  <autoFilter ref="A1:J6" xr:uid="{92565AF6-51CB-F740-ACD0-AD376C5F8FE0}"/>
  <tableColumns count="10">
    <tableColumn id="1" xr3:uid="{0B7A1F2D-D042-6947-B65B-356D4D33EC84}" name="Movement" dataDxfId="186"/>
    <tableColumn id="6" xr3:uid="{8D570864-DCAB-384F-9AAB-0B1B408BA72D}" name="Account Secondary" dataDxfId="185"/>
    <tableColumn id="7" xr3:uid="{1C5600AD-E9D1-6040-A70C-7F4F4F75639C}" name="2024-05-01" dataDxfId="184"/>
    <tableColumn id="8" xr3:uid="{A3364F3B-B8BC-434D-A8BB-FFC3B8C71293}" name="2024-06-01" dataDxfId="183"/>
    <tableColumn id="9" xr3:uid="{1771F61E-E416-CE41-8394-E64B9057B10F}" name="2024-07-01" dataDxfId="182"/>
    <tableColumn id="10" xr3:uid="{7188F6FE-F410-1741-B1DE-14957C8A5CB8}" name="2024-08-01" dataDxfId="181"/>
    <tableColumn id="11" xr3:uid="{C2DE6C79-5960-3D4C-B26C-70E7E132D282}" name="2024-09-01" dataDxfId="180"/>
    <tableColumn id="12" xr3:uid="{F4072681-3F04-0A46-9D9B-9A5803996783}" name="2024-10-01" dataDxfId="179"/>
    <tableColumn id="13" xr3:uid="{AB81E1BD-B0CD-E84E-BC8A-D81316A44B08}" name="2024-11-01" dataDxfId="178"/>
    <tableColumn id="14" xr3:uid="{7B9D14C4-BF9C-C74A-A14D-9A201AB2AF66}" name="2024-12-01" dataDxfId="17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73226-BE95-ED4B-8E84-34502A072542}" name="Table3254" displayName="Table3254" ref="A1:J5" totalsRowShown="0" headerRowDxfId="176" dataDxfId="175">
  <autoFilter ref="A1:J5" xr:uid="{D9073226-BE95-ED4B-8E84-34502A072542}"/>
  <tableColumns count="10">
    <tableColumn id="5" xr3:uid="{D736239C-8F8A-0A41-855C-2D61D9FA6F03}" name="Movement" dataDxfId="174"/>
    <tableColumn id="6" xr3:uid="{879B2830-2DB7-7C44-BEEF-A003D5F5C5EF}" name="Account Secondary" dataDxfId="173"/>
    <tableColumn id="7" xr3:uid="{142EA412-8F0A-D645-9812-6B2B6729A8A4}" name="2024-05-01" dataDxfId="172"/>
    <tableColumn id="8" xr3:uid="{DD117CB8-2856-0D48-9412-33F2845F937D}" name="2024-06-01" dataDxfId="171"/>
    <tableColumn id="9" xr3:uid="{C9503397-2C2A-5B4B-84F6-7256EAD4FF82}" name="2024-07-01" dataDxfId="170"/>
    <tableColumn id="10" xr3:uid="{528B3BEA-F5F6-CA4E-AA11-9CB0EBC907A1}" name="2024-08-01" dataDxfId="169"/>
    <tableColumn id="11" xr3:uid="{248F2750-40B2-694E-B3E3-8C20B5CD9E09}" name="2024-09-01" dataDxfId="168"/>
    <tableColumn id="12" xr3:uid="{FB23FE30-E2E2-BE49-A8AF-CCF74A9E5265}" name="2024-10-01" dataDxfId="167"/>
    <tableColumn id="13" xr3:uid="{B7503BFF-CAE0-234C-B277-0A411884B34E}" name="2024-11-01" dataDxfId="166"/>
    <tableColumn id="14" xr3:uid="{990DC215-1A0B-E34F-9CD0-E23EE6337BA8}" name="2024-12-01" dataDxfId="16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4C2A8A-A83E-704E-8265-40FE4C35254D}" name="Table3289" displayName="Table3289" ref="A1:AH4" totalsRowCount="1" headerRowDxfId="164" dataDxfId="163">
  <autoFilter ref="A1:AH3" xr:uid="{92565AF6-51CB-F740-ACD0-AD376C5F8FE0}"/>
  <tableColumns count="34">
    <tableColumn id="1" xr3:uid="{48C7FEF4-77BD-9541-BE84-1814C3078641}" name="Movement" totalsRowLabel="Subtotal" dataDxfId="162" totalsRowDxfId="161"/>
    <tableColumn id="6" xr3:uid="{8363580B-2FC4-DF47-8BAB-B104EA5DEB86}" name="Account Secondary" totalsRowLabel="Home Loan" dataDxfId="160" totalsRowDxfId="159"/>
    <tableColumn id="7" xr3:uid="{361D3CD3-A32A-B64C-A7D7-E6E15865CDC7}" name="2024-05-01" totalsRowFunction="custom" dataDxfId="158" totalsRowDxfId="157">
      <totalsRowFormula>SUMIF(Table3289[[Movement]:[Movement]],"Credit", Table3289[2024-05-01])-SUMIF(Table3289[[Movement]:[Movement]],"Debit", Table3289[2024-05-01])</totalsRowFormula>
    </tableColumn>
    <tableColumn id="8" xr3:uid="{BE34F460-9E3B-DB44-936C-9CA885B06C0E}" name="2024-06-01" totalsRowFunction="custom" dataDxfId="156" totalsRowDxfId="155">
      <totalsRowFormula>SUMIF(Table3289[[Movement]:[Movement]],"Credit", Table3289[2024-06-01])-SUMIF(Table3289[[Movement]:[Movement]],"Debit", Table3289[2024-06-01])</totalsRowFormula>
    </tableColumn>
    <tableColumn id="9" xr3:uid="{115C1358-9F14-824C-B8C4-2180BC020306}" name="2024-07-01" totalsRowFunction="custom" dataDxfId="154" totalsRowDxfId="153">
      <totalsRowFormula>SUMIF(Table3289[[Movement]:[Movement]],"Credit", Table3289[2024-07-01])-SUMIF(Table3289[[Movement]:[Movement]],"Debit", Table3289[2024-07-01])</totalsRowFormula>
    </tableColumn>
    <tableColumn id="10" xr3:uid="{490B6A8A-72F5-F142-AC3D-7CA932C6B8E7}" name="2024-08-01" totalsRowFunction="custom" dataDxfId="152" totalsRowDxfId="151">
      <totalsRowFormula>SUMIF(Table3289[[Movement]:[Movement]],"Credit", Table3289[2024-08-01])-SUMIF(Table3289[[Movement]:[Movement]],"Debit", Table3289[2024-08-01])</totalsRowFormula>
    </tableColumn>
    <tableColumn id="11" xr3:uid="{7F1D73FB-1C53-A349-9F25-72A48DA5F547}" name="2024-09-01" totalsRowFunction="custom" dataDxfId="150" totalsRowDxfId="149">
      <totalsRowFormula>SUMIF(Table3289[[Movement]:[Movement]],"Credit", Table3289[2024-09-01])-SUMIF(Table3289[[Movement]:[Movement]],"Debit", Table3289[2024-09-01])</totalsRowFormula>
    </tableColumn>
    <tableColumn id="12" xr3:uid="{470D3BB0-3DFD-AA44-B671-0A78677BC302}" name="2024-10-01" totalsRowFunction="custom" dataDxfId="148" totalsRowDxfId="147">
      <totalsRowFormula>SUMIF(Table3289[[Movement]:[Movement]],"Credit", Table3289[2024-10-01])-SUMIF(Table3289[[Movement]:[Movement]],"Debit", Table3289[2024-10-01])</totalsRowFormula>
    </tableColumn>
    <tableColumn id="13" xr3:uid="{34967616-EB00-7D40-8944-A10755742047}" name="2024-11-01" totalsRowFunction="custom" dataDxfId="146" totalsRowDxfId="145">
      <totalsRowFormula>SUMIF(Table3289[[Movement]:[Movement]],"Credit", Table3289[2024-11-01])-SUMIF(Table3289[[Movement]:[Movement]],"Debit", Table3289[2024-11-01])</totalsRowFormula>
    </tableColumn>
    <tableColumn id="14" xr3:uid="{0BF7EFB4-D321-5A4F-BF26-8639E699A99A}" name="2024-12-01" totalsRowFunction="custom" dataDxfId="144" totalsRowDxfId="143">
      <totalsRowFormula>SUMIF(Table3289[[Movement]:[Movement]],"Credit", Table3289[2024-12-01])-SUMIF(Table3289[[Movement]:[Movement]],"Debit", Table3289[2024-12-01])</totalsRowFormula>
    </tableColumn>
    <tableColumn id="15" xr3:uid="{A3B5416C-8F32-C446-B3C7-78BAD8ED1940}" name="2025-01-01" totalsRowFunction="custom" dataDxfId="142" totalsRowDxfId="141">
      <totalsRowFormula>SUMIF(Table3289[[Movement]:[Movement]],"Credit", Table3289[2025-01-01])-SUMIF(Table3289[[Movement]:[Movement]],"Debit", Table3289[2025-01-01])</totalsRowFormula>
    </tableColumn>
    <tableColumn id="16" xr3:uid="{3D115D52-45AF-4549-9623-9E7185C52C27}" name="2025-02-01" totalsRowFunction="custom" dataDxfId="140" totalsRowDxfId="139">
      <totalsRowFormula>SUMIF(Table3289[[Movement]:[Movement]],"Credit", Table3289[2025-02-01])-SUMIF(Table3289[[Movement]:[Movement]],"Debit", Table3289[2025-02-01])</totalsRowFormula>
    </tableColumn>
    <tableColumn id="17" xr3:uid="{DE8104AD-FD99-D447-AD96-D73BE65591A3}" name="2025-03-01" totalsRowFunction="custom" dataDxfId="138" totalsRowDxfId="137">
      <totalsRowFormula>SUMIF(Table3289[[Movement]:[Movement]],"Credit", Table3289[2025-03-01])-SUMIF(Table3289[[Movement]:[Movement]],"Debit", Table3289[2025-03-01])</totalsRowFormula>
    </tableColumn>
    <tableColumn id="18" xr3:uid="{6E4CC138-CAFD-B641-9B0C-7567D84052E2}" name="2025-04-01" totalsRowFunction="custom" dataDxfId="136" totalsRowDxfId="135">
      <totalsRowFormula>SUMIF(Table3289[[Movement]:[Movement]],"Credit", Table3289[2025-04-01])-SUMIF(Table3289[[Movement]:[Movement]],"Debit", Table3289[2025-04-01])</totalsRowFormula>
    </tableColumn>
    <tableColumn id="19" xr3:uid="{99987F0C-BA51-0348-A107-82772A410615}" name="2025-05-01" totalsRowFunction="custom" dataDxfId="134" totalsRowDxfId="133">
      <totalsRowFormula>SUMIF(Table3289[[Movement]:[Movement]],"Credit", Table3289[2025-05-01])-SUMIF(Table3289[[Movement]:[Movement]],"Debit", Table3289[2025-05-01])</totalsRowFormula>
    </tableColumn>
    <tableColumn id="20" xr3:uid="{C04181CC-4FB8-184B-A82D-64489A6A7782}" name="2025-06-01" totalsRowFunction="custom" dataDxfId="132" totalsRowDxfId="131">
      <totalsRowFormula>SUMIF(Table3289[[Movement]:[Movement]],"Credit", Table3289[2025-06-01])-SUMIF(Table3289[[Movement]:[Movement]],"Debit", Table3289[2025-06-01])</totalsRowFormula>
    </tableColumn>
    <tableColumn id="21" xr3:uid="{42825BAA-0D21-8E44-A1B6-1939ACE58972}" name="2025-07-01" totalsRowFunction="custom" dataDxfId="130" totalsRowDxfId="129">
      <totalsRowFormula>SUMIF(Table3289[[Movement]:[Movement]],"Credit", Table3289[2025-07-01])-SUMIF(Table3289[[Movement]:[Movement]],"Debit", Table3289[2025-07-01])</totalsRowFormula>
    </tableColumn>
    <tableColumn id="22" xr3:uid="{AD92FF0A-8AD9-0344-81B9-55C2B230B865}" name="2025-08-01" totalsRowFunction="custom" dataDxfId="128" totalsRowDxfId="127">
      <totalsRowFormula>SUMIF(Table3289[[Movement]:[Movement]],"Credit", Table3289[2025-08-01])-SUMIF(Table3289[[Movement]:[Movement]],"Debit", Table3289[2025-08-01])</totalsRowFormula>
    </tableColumn>
    <tableColumn id="23" xr3:uid="{2DDACB28-8008-F443-8C0D-06A14AC8296D}" name="2025-09-01" totalsRowFunction="custom" dataDxfId="126" totalsRowDxfId="125">
      <totalsRowFormula>SUMIF(Table3289[[Movement]:[Movement]],"Credit", Table3289[2025-09-01])-SUMIF(Table3289[[Movement]:[Movement]],"Debit", Table3289[2025-09-01])</totalsRowFormula>
    </tableColumn>
    <tableColumn id="24" xr3:uid="{0A5AE536-EC61-1141-A06B-37DC0C001F71}" name="2025-10-01" totalsRowFunction="custom" dataDxfId="124" totalsRowDxfId="123">
      <totalsRowFormula>SUMIF(Table3289[[Movement]:[Movement]],"Credit", Table3289[2025-10-01])-SUMIF(Table3289[[Movement]:[Movement]],"Debit", Table3289[2025-10-01])</totalsRowFormula>
    </tableColumn>
    <tableColumn id="25" xr3:uid="{4C00878B-495D-2C49-8C85-7C28902A97B5}" name="2025-11-01" totalsRowFunction="custom" dataDxfId="122" totalsRowDxfId="121">
      <totalsRowFormula>SUMIF(Table3289[[Movement]:[Movement]],"Credit", Table3289[2025-11-01])-SUMIF(Table3289[[Movement]:[Movement]],"Debit", Table3289[2025-11-01])</totalsRowFormula>
    </tableColumn>
    <tableColumn id="26" xr3:uid="{758E9F31-04D9-AD47-A369-6DCDE2587B37}" name="2025-12-01" totalsRowFunction="custom" dataDxfId="120" totalsRowDxfId="119">
      <totalsRowFormula>SUMIF(Table3289[[Movement]:[Movement]],"Credit", Table3289[2025-12-01])-SUMIF(Table3289[[Movement]:[Movement]],"Debit", Table3289[2025-12-01])</totalsRowFormula>
    </tableColumn>
    <tableColumn id="27" xr3:uid="{214013F7-4571-0C4C-BC3F-923B8C5D82CA}" name="2026-01-01" totalsRowFunction="custom" dataDxfId="118" totalsRowDxfId="117">
      <totalsRowFormula>SUMIF(Table3289[[Movement]:[Movement]],"Credit", Table3289[2026-01-01])-SUMIF(Table3289[[Movement]:[Movement]],"Debit", Table3289[2026-01-01])</totalsRowFormula>
    </tableColumn>
    <tableColumn id="28" xr3:uid="{299EBDEC-587A-EB4C-912B-4FCCBA015BF7}" name="2026-02-01" totalsRowFunction="custom" dataDxfId="116" totalsRowDxfId="115">
      <totalsRowFormula>SUMIF(Table3289[[Movement]:[Movement]],"Credit", Table3289[2026-02-01])-SUMIF(Table3289[[Movement]:[Movement]],"Debit", Table3289[2026-02-01])</totalsRowFormula>
    </tableColumn>
    <tableColumn id="29" xr3:uid="{0E069F34-0524-2C49-AFA9-D20E1C826857}" name="2026-03-01" totalsRowFunction="custom" dataDxfId="114" totalsRowDxfId="113">
      <totalsRowFormula>SUMIF(Table3289[[Movement]:[Movement]],"Credit", Table3289[2026-03-01])-SUMIF(Table3289[[Movement]:[Movement]],"Debit", Table3289[2026-03-01])</totalsRowFormula>
    </tableColumn>
    <tableColumn id="30" xr3:uid="{B2997A8B-BDE6-8A41-A632-EE2C21E7289E}" name="2026-04-01" totalsRowFunction="custom" dataDxfId="112" totalsRowDxfId="111">
      <totalsRowFormula>SUMIF(Table3289[[Movement]:[Movement]],"Credit", Table3289[2026-04-01])-SUMIF(Table3289[[Movement]:[Movement]],"Debit", Table3289[2026-04-01])</totalsRowFormula>
    </tableColumn>
    <tableColumn id="31" xr3:uid="{9366D011-DE9D-EA4C-9809-5DA5CFBB80D3}" name="2026-05-01" totalsRowFunction="custom" dataDxfId="110" totalsRowDxfId="109">
      <totalsRowFormula>SUMIF(Table3289[[Movement]:[Movement]],"Credit", Table3289[2026-05-01])-SUMIF(Table3289[[Movement]:[Movement]],"Debit", Table3289[2026-05-01])</totalsRowFormula>
    </tableColumn>
    <tableColumn id="32" xr3:uid="{DDCEB168-CAE9-3343-835F-17ABF4740AF7}" name="2026-06-01" totalsRowFunction="custom" dataDxfId="108" totalsRowDxfId="107">
      <totalsRowFormula>SUMIF(Table3289[[Movement]:[Movement]],"Credit", Table3289[2026-06-01])-SUMIF(Table3289[[Movement]:[Movement]],"Debit", Table3289[2026-06-01])</totalsRowFormula>
    </tableColumn>
    <tableColumn id="33" xr3:uid="{B9F47156-145B-6945-851F-D6FBCB1CAC31}" name="2026-07-01" totalsRowFunction="custom" dataDxfId="106" totalsRowDxfId="105">
      <totalsRowFormula>SUMIF(Table3289[[Movement]:[Movement]],"Credit", Table3289[2026-07-01])-SUMIF(Table3289[[Movement]:[Movement]],"Debit", Table3289[2026-07-01])</totalsRowFormula>
    </tableColumn>
    <tableColumn id="34" xr3:uid="{969FB425-1B4E-6B44-B5CF-57F633CA7256}" name="2026-08-01" totalsRowFunction="custom" dataDxfId="104" totalsRowDxfId="103">
      <totalsRowFormula>SUMIF(Table3289[[Movement]:[Movement]],"Credit", Table3289[2026-08-01])-SUMIF(Table3289[[Movement]:[Movement]],"Debit", Table3289[2026-08-01])</totalsRowFormula>
    </tableColumn>
    <tableColumn id="35" xr3:uid="{AFB10C83-43CE-6144-9AA9-ED255E5D3760}" name="2026-09-01" totalsRowFunction="custom" dataDxfId="102" totalsRowDxfId="101">
      <totalsRowFormula>SUMIF(Table3289[[Movement]:[Movement]],"Credit", Table3289[2026-09-01])-SUMIF(Table3289[[Movement]:[Movement]],"Debit", Table3289[2026-09-01])</totalsRowFormula>
    </tableColumn>
    <tableColumn id="36" xr3:uid="{D0F17942-47F3-5447-A598-FA5FB0EBEA32}" name="2026-10-01" totalsRowFunction="custom" dataDxfId="100" totalsRowDxfId="99">
      <totalsRowFormula>SUMIF(Table3289[[Movement]:[Movement]],"Credit", Table3289[2026-10-01])-SUMIF(Table3289[[Movement]:[Movement]],"Debit", Table3289[2026-10-01])</totalsRowFormula>
    </tableColumn>
    <tableColumn id="37" xr3:uid="{098D39D9-4DBB-7741-98D7-000AA121B3B3}" name="2026-11-01" totalsRowFunction="custom" dataDxfId="98" totalsRowDxfId="97">
      <totalsRowFormula>SUMIF(Table3289[[Movement]:[Movement]],"Credit", Table3289[2026-11-01])-SUMIF(Table3289[[Movement]:[Movement]],"Debit", Table3289[2026-11-01])</totalsRowFormula>
    </tableColumn>
    <tableColumn id="38" xr3:uid="{F91A180A-11F2-E845-BCCA-20F78E9ED3EF}" name="2026-12-01" totalsRowFunction="custom" dataDxfId="96" totalsRowDxfId="95">
      <totalsRowFormula>SUMIF(Table3289[[Movement]:[Movement]],"Credit", Table3289[2026-12-01])-SUMIF(Table3289[[Movement]:[Movement]],"Debit", Table3289[2026-12-01])</totalsRow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702B49-2777-3448-9DCF-365AAD4235B1}" name="Table328" displayName="Table328" ref="A1:AH9" totalsRowCount="1" headerRowDxfId="94" dataDxfId="93">
  <autoFilter ref="A1:AH8" xr:uid="{92565AF6-51CB-F740-ACD0-AD376C5F8FE0}"/>
  <tableColumns count="34">
    <tableColumn id="1" xr3:uid="{132F1BF4-3588-8A4B-8F98-DB76AAE601DC}" name="Movement" totalsRowLabel="Subtotal" dataDxfId="92" totalsRowDxfId="91"/>
    <tableColumn id="6" xr3:uid="{81ACCF9B-B060-EC46-8372-B215BC3E24E6}" name="Account Secondary" totalsRowLabel="Jodine U" dataDxfId="90" totalsRowDxfId="89"/>
    <tableColumn id="7" xr3:uid="{984BE13D-B3F0-4141-8171-AF453C2EDE3E}" name="2024-05-01" totalsRowFunction="custom" dataDxfId="88" totalsRowDxfId="87">
      <totalsRowFormula>SUMIF(Table328[[Movement]:[Movement]],"Credit", Table328[2024-05-01])-SUMIF(Table328[[Movement]:[Movement]],"Debit", Table328[2024-05-01])</totalsRowFormula>
    </tableColumn>
    <tableColumn id="8" xr3:uid="{2BB3D3C5-F012-FD47-A358-58BB6A556D7D}" name="2024-06-01" totalsRowFunction="custom" dataDxfId="86" totalsRowDxfId="85">
      <totalsRowFormula>SUMIF(Table328[[Movement]:[Movement]],"Credit", Table328[2024-06-01])-SUMIF(Table328[[Movement]:[Movement]],"Debit", Table328[2024-06-01])</totalsRowFormula>
    </tableColumn>
    <tableColumn id="9" xr3:uid="{EBB6AB3B-A446-DB4F-8264-72B3190C9CED}" name="2024-07-01" totalsRowFunction="custom" dataDxfId="84" totalsRowDxfId="83">
      <totalsRowFormula>SUMIF(Table328[[Movement]:[Movement]],"Credit", Table328[2024-07-01])-SUMIF(Table328[[Movement]:[Movement]],"Debit", Table328[2024-07-01])</totalsRowFormula>
    </tableColumn>
    <tableColumn id="10" xr3:uid="{DBE96D9B-9F27-8F47-86E4-7AAF262DF5C8}" name="2024-08-01" totalsRowFunction="custom" dataDxfId="82" totalsRowDxfId="81">
      <totalsRowFormula>SUMIF(Table328[[Movement]:[Movement]],"Credit", Table328[2024-08-01])-SUMIF(Table328[[Movement]:[Movement]],"Debit", Table328[2024-08-01])</totalsRowFormula>
    </tableColumn>
    <tableColumn id="11" xr3:uid="{6462287A-231A-F94A-AFF2-718E314EBE0D}" name="2024-09-01" totalsRowFunction="custom" dataDxfId="80" totalsRowDxfId="79">
      <totalsRowFormula>SUMIF(Table328[[Movement]:[Movement]],"Credit", Table328[2024-09-01])-SUMIF(Table328[[Movement]:[Movement]],"Debit", Table328[2024-09-01])</totalsRowFormula>
    </tableColumn>
    <tableColumn id="12" xr3:uid="{7D2A10AB-97F3-9446-95E7-2824AB9C1D8B}" name="2024-10-01" totalsRowFunction="custom" dataDxfId="78" totalsRowDxfId="77">
      <totalsRowFormula>SUMIF(Table328[[Movement]:[Movement]],"Credit", Table328[2024-10-01])-SUMIF(Table328[[Movement]:[Movement]],"Debit", Table328[2024-10-01])</totalsRowFormula>
    </tableColumn>
    <tableColumn id="13" xr3:uid="{85B33C4E-94DF-EC4C-8640-5B925E92396A}" name="2024-11-01" totalsRowFunction="custom" dataDxfId="76" totalsRowDxfId="75">
      <totalsRowFormula>SUMIF(Table328[[Movement]:[Movement]],"Credit", Table328[2024-11-01])-SUMIF(Table328[[Movement]:[Movement]],"Debit", Table328[2024-11-01])</totalsRowFormula>
    </tableColumn>
    <tableColumn id="14" xr3:uid="{54118784-7FBB-8442-9E75-D434EAE0D358}" name="2024-12-01" totalsRowFunction="custom" dataDxfId="74" totalsRowDxfId="73">
      <totalsRowFormula>SUMIF(Table328[[Movement]:[Movement]],"Credit", Table328[2024-12-01])-SUMIF(Table328[[Movement]:[Movement]],"Debit", Table328[2024-12-01])</totalsRowFormula>
    </tableColumn>
    <tableColumn id="15" xr3:uid="{11E91D47-A42F-6F4F-8643-BBA17A2766CE}" name="2025-01-01" totalsRowFunction="custom" dataDxfId="72" totalsRowDxfId="71">
      <totalsRowFormula>SUMIF(Table328[[Movement]:[Movement]],"Credit", Table328[2025-01-01])-SUMIF(Table328[[Movement]:[Movement]],"Debit", Table328[2025-01-01])</totalsRowFormula>
    </tableColumn>
    <tableColumn id="16" xr3:uid="{A9F69F66-C1FE-A346-BC10-3BD28F4560DC}" name="2025-02-01" totalsRowFunction="custom" dataDxfId="70" totalsRowDxfId="69">
      <totalsRowFormula>SUMIF(Table328[[Movement]:[Movement]],"Credit", Table328[2025-02-01])-SUMIF(Table328[[Movement]:[Movement]],"Debit", Table328[2025-02-01])</totalsRowFormula>
    </tableColumn>
    <tableColumn id="17" xr3:uid="{F4313802-9F49-A249-829D-BE1DAC00470C}" name="2025-03-01" totalsRowFunction="custom" dataDxfId="68" totalsRowDxfId="67">
      <totalsRowFormula>SUMIF(Table328[[Movement]:[Movement]],"Credit", Table328[2025-03-01])-SUMIF(Table328[[Movement]:[Movement]],"Debit", Table328[2025-03-01])</totalsRowFormula>
    </tableColumn>
    <tableColumn id="18" xr3:uid="{70DCD78C-734A-2A4F-96D9-75E2F722BBEF}" name="2025-04-01" totalsRowFunction="custom" dataDxfId="66" totalsRowDxfId="65">
      <totalsRowFormula>SUMIF(Table328[[Movement]:[Movement]],"Credit", Table328[2025-04-01])-SUMIF(Table328[[Movement]:[Movement]],"Debit", Table328[2025-04-01])</totalsRowFormula>
    </tableColumn>
    <tableColumn id="19" xr3:uid="{3CB93C70-C607-C849-9D6E-A12F48DB0917}" name="2025-05-01" totalsRowFunction="custom" dataDxfId="64" totalsRowDxfId="63">
      <totalsRowFormula>SUMIF(Table328[[Movement]:[Movement]],"Credit", Table328[2025-05-01])-SUMIF(Table328[[Movement]:[Movement]],"Debit", Table328[2025-05-01])</totalsRowFormula>
    </tableColumn>
    <tableColumn id="20" xr3:uid="{8B2DFDEA-F50F-564E-88EB-40B3ADE38284}" name="2025-06-01" totalsRowFunction="custom" dataDxfId="62" totalsRowDxfId="61">
      <totalsRowFormula>SUMIF(Table328[[Movement]:[Movement]],"Credit", Table328[2025-06-01])-SUMIF(Table328[[Movement]:[Movement]],"Debit", Table328[2025-06-01])</totalsRowFormula>
    </tableColumn>
    <tableColumn id="21" xr3:uid="{91AB2B18-50E8-D042-B65D-FE4C52807967}" name="2025-07-01" totalsRowFunction="custom" dataDxfId="60" totalsRowDxfId="59">
      <totalsRowFormula>SUMIF(Table328[[Movement]:[Movement]],"Credit", Table328[2025-07-01])-SUMIF(Table328[[Movement]:[Movement]],"Debit", Table328[2025-07-01])</totalsRowFormula>
    </tableColumn>
    <tableColumn id="22" xr3:uid="{1B34BB85-1C48-D24A-AECB-C60DA7FC690D}" name="2025-08-01" totalsRowFunction="custom" dataDxfId="58" totalsRowDxfId="57">
      <totalsRowFormula>SUMIF(Table328[[Movement]:[Movement]],"Credit", Table328[2025-08-01])-SUMIF(Table328[[Movement]:[Movement]],"Debit", Table328[2025-08-01])</totalsRowFormula>
    </tableColumn>
    <tableColumn id="23" xr3:uid="{6AA34C9A-7D16-4045-8E67-CAA0588D1E20}" name="2025-09-01" totalsRowFunction="custom" dataDxfId="56" totalsRowDxfId="55">
      <totalsRowFormula>SUMIF(Table328[[Movement]:[Movement]],"Credit", Table328[2025-09-01])-SUMIF(Table328[[Movement]:[Movement]],"Debit", Table328[2025-09-01])</totalsRowFormula>
    </tableColumn>
    <tableColumn id="24" xr3:uid="{F76057EE-251C-8347-AA7B-C0BD03E23E1B}" name="2025-10-01" totalsRowFunction="custom" dataDxfId="54" totalsRowDxfId="53">
      <totalsRowFormula>SUMIF(Table328[[Movement]:[Movement]],"Credit", Table328[2025-10-01])-SUMIF(Table328[[Movement]:[Movement]],"Debit", Table328[2025-10-01])</totalsRowFormula>
    </tableColumn>
    <tableColumn id="25" xr3:uid="{B3CED7D0-5665-8843-BB8D-DD4B2D475330}" name="2025-11-01" totalsRowFunction="custom" dataDxfId="52" totalsRowDxfId="51">
      <totalsRowFormula>SUMIF(Table328[[Movement]:[Movement]],"Credit", Table328[2025-11-01])-SUMIF(Table328[[Movement]:[Movement]],"Debit", Table328[2025-11-01])</totalsRowFormula>
    </tableColumn>
    <tableColumn id="26" xr3:uid="{17986AF3-FF29-0945-9531-7F4A42463D68}" name="2025-12-01" totalsRowFunction="custom" dataDxfId="50" totalsRowDxfId="49">
      <totalsRowFormula>SUMIF(Table328[[Movement]:[Movement]],"Credit", Table328[2025-12-01])-SUMIF(Table328[[Movement]:[Movement]],"Debit", Table328[2025-12-01])</totalsRowFormula>
    </tableColumn>
    <tableColumn id="27" xr3:uid="{A0E3385D-60FC-124E-ACB2-3CF5068E197E}" name="2026-01-01" totalsRowFunction="custom" dataDxfId="48" totalsRowDxfId="47">
      <totalsRowFormula>SUMIF(Table328[[Movement]:[Movement]],"Credit", Table328[2026-01-01])-SUMIF(Table328[[Movement]:[Movement]],"Debit", Table328[2026-01-01])</totalsRowFormula>
    </tableColumn>
    <tableColumn id="28" xr3:uid="{2B18E388-6340-864F-94E0-B6C712B3E140}" name="2026-02-01" totalsRowFunction="custom" dataDxfId="46" totalsRowDxfId="45">
      <totalsRowFormula>SUMIF(Table328[[Movement]:[Movement]],"Credit", Table328[2026-02-01])-SUMIF(Table328[[Movement]:[Movement]],"Debit", Table328[2026-02-01])</totalsRowFormula>
    </tableColumn>
    <tableColumn id="29" xr3:uid="{A56D1D1A-BCDD-3A4E-996A-4D01DADFF67B}" name="2026-03-01" totalsRowFunction="custom" dataDxfId="44" totalsRowDxfId="43">
      <totalsRowFormula>SUMIF(Table328[[Movement]:[Movement]],"Credit", Table328[2026-03-01])-SUMIF(Table328[[Movement]:[Movement]],"Debit", Table328[2026-03-01])</totalsRowFormula>
    </tableColumn>
    <tableColumn id="30" xr3:uid="{A90A62ED-9074-8848-A318-D26D567C3D87}" name="2026-04-01" totalsRowFunction="custom" dataDxfId="42" totalsRowDxfId="41">
      <totalsRowFormula>SUMIF(Table328[[Movement]:[Movement]],"Credit", Table328[2026-04-01])-SUMIF(Table328[[Movement]:[Movement]],"Debit", Table328[2026-04-01])</totalsRowFormula>
    </tableColumn>
    <tableColumn id="31" xr3:uid="{FC125C77-2688-F547-86F6-9B4B045F6EEF}" name="2026-05-01" totalsRowFunction="custom" dataDxfId="40" totalsRowDxfId="39">
      <totalsRowFormula>SUMIF(Table328[[Movement]:[Movement]],"Credit", Table328[2026-05-01])-SUMIF(Table328[[Movement]:[Movement]],"Debit", Table328[2026-05-01])</totalsRowFormula>
    </tableColumn>
    <tableColumn id="32" xr3:uid="{3A8C66D0-0121-B94A-963B-D4F350471546}" name="2026-06-01" totalsRowFunction="custom" dataDxfId="38" totalsRowDxfId="37">
      <totalsRowFormula>SUMIF(Table328[[Movement]:[Movement]],"Credit", Table328[2026-06-01])-SUMIF(Table328[[Movement]:[Movement]],"Debit", Table328[2026-06-01])</totalsRowFormula>
    </tableColumn>
    <tableColumn id="33" xr3:uid="{8BB2DE1C-C13D-B840-A57E-E8E08A13B45E}" name="2026-07-01" totalsRowFunction="custom" dataDxfId="36" totalsRowDxfId="35">
      <totalsRowFormula>SUMIF(Table328[[Movement]:[Movement]],"Credit", Table328[2026-07-01])-SUMIF(Table328[[Movement]:[Movement]],"Debit", Table328[2026-07-01])</totalsRowFormula>
    </tableColumn>
    <tableColumn id="34" xr3:uid="{8DA66CDB-6161-CC4D-A571-DD72FF861D17}" name="2026-08-01" totalsRowFunction="custom" dataDxfId="34" totalsRowDxfId="33">
      <totalsRowFormula>SUMIF(Table328[[Movement]:[Movement]],"Credit", Table328[2026-08-01])-SUMIF(Table328[[Movement]:[Movement]],"Debit", Table328[2026-08-01])</totalsRowFormula>
    </tableColumn>
    <tableColumn id="35" xr3:uid="{4E89C43D-38B3-564B-B587-E203230DA850}" name="2026-09-01" totalsRowFunction="custom" dataDxfId="32" totalsRowDxfId="31">
      <totalsRowFormula>SUMIF(Table328[[Movement]:[Movement]],"Credit", Table328[2026-09-01])-SUMIF(Table328[[Movement]:[Movement]],"Debit", Table328[2026-09-01])</totalsRowFormula>
    </tableColumn>
    <tableColumn id="36" xr3:uid="{4DE10C26-4FB6-3F4C-BA3A-36166F4CC466}" name="2026-10-01" totalsRowFunction="custom" dataDxfId="30" totalsRowDxfId="29">
      <totalsRowFormula>SUMIF(Table328[[Movement]:[Movement]],"Credit", Table328[2026-10-01])-SUMIF(Table328[[Movement]:[Movement]],"Debit", Table328[2026-10-01])</totalsRowFormula>
    </tableColumn>
    <tableColumn id="37" xr3:uid="{F55F2EEA-2A6C-424C-BBBE-15F2332B5582}" name="2026-11-01" totalsRowFunction="custom" dataDxfId="28" totalsRowDxfId="27">
      <totalsRowFormula>SUMIF(Table328[[Movement]:[Movement]],"Credit", Table328[2026-11-01])-SUMIF(Table328[[Movement]:[Movement]],"Debit", Table328[2026-11-01])</totalsRowFormula>
    </tableColumn>
    <tableColumn id="38" xr3:uid="{5F503672-BD07-7B4C-BCCD-24CB778A34F6}" name="2026-12-01" totalsRowFunction="custom" dataDxfId="26" totalsRowDxfId="25">
      <totalsRowFormula>SUMIF(Table328[[Movement]:[Movement]],"Credit", Table328[2026-12-01])-SUMIF(Table328[[Movement]:[Movement]],"Debit", Table328[2026-12-01])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25CAA0-1A50-D140-A5F5-D8D57F9F6C72}" name="Table5" displayName="Table5" ref="A1:J4" totalsRowShown="0" headerRowDxfId="24" tableBorderDxfId="23">
  <autoFilter ref="A1:J4" xr:uid="{7525CAA0-1A50-D140-A5F5-D8D57F9F6C72}"/>
  <tableColumns count="10">
    <tableColumn id="1" xr3:uid="{1CB6D3F1-51C1-684B-93B6-9FA82F9F067F}" name="Movement"/>
    <tableColumn id="2" xr3:uid="{8D85302C-B2C7-D04E-9B6D-9E41A4C3874E}" name="Account Secondary"/>
    <tableColumn id="3" xr3:uid="{0B6873A1-757B-0D40-B3F0-BEA04C0D6434}" name="2024-05-01"/>
    <tableColumn id="4" xr3:uid="{19FEB763-61F6-6047-AA87-B41434BB7F2B}" name="2024-06-01"/>
    <tableColumn id="5" xr3:uid="{083028C3-723C-B14A-8548-95E3C5B52F75}" name="2024-07-01"/>
    <tableColumn id="6" xr3:uid="{4AD87858-0F42-684D-BB2F-D3B5B2D2562D}" name="2024-08-01"/>
    <tableColumn id="7" xr3:uid="{BB38845A-193D-1345-8563-6D79887BED8D}" name="2024-09-01"/>
    <tableColumn id="8" xr3:uid="{3BE6CE66-0FF8-3E4E-9B1C-A9D34EF4F340}" name="2024-10-01"/>
    <tableColumn id="9" xr3:uid="{13319CD7-98C5-4944-BD83-2F6BD0A28A0F}" name="2024-11-01"/>
    <tableColumn id="10" xr3:uid="{5F732ED9-A95B-AA4F-9A36-603AD3652A07}" name="2024-12-0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2C6871-545C-FE44-A877-F290E451E1CF}" name="Table32810" displayName="Table32810" ref="A1:J9" totalsRowCount="1" headerRowDxfId="22" dataDxfId="21">
  <autoFilter ref="A1:J8" xr:uid="{92565AF6-51CB-F740-ACD0-AD376C5F8FE0}"/>
  <tableColumns count="10">
    <tableColumn id="5" xr3:uid="{06CF438D-1451-314D-9C7A-32F80F032CDD}" name="Movement" totalsRowLabel="Subtotal" dataDxfId="20" totalsRowDxfId="19"/>
    <tableColumn id="6" xr3:uid="{D85B60B0-DD6D-9B4D-A4AD-5C8378063533}" name="Account Secondary" totalsRowLabel="Personal Wealth" dataDxfId="18" totalsRowDxfId="17"/>
    <tableColumn id="7" xr3:uid="{1DFF1C23-E2EA-B34F-AE16-2538AE6684FC}" name="2024-05-01" totalsRowFunction="custom" dataDxfId="16" totalsRowDxfId="15">
      <totalsRowFormula>SUMIF(Table32810[[Movement]:[Movement]],"Credit", Table32810[2024-05-01])-SUMIF(Table32810[[Movement]:[Movement]],"Debit", Table32810[2024-05-01])</totalsRowFormula>
    </tableColumn>
    <tableColumn id="8" xr3:uid="{907257EB-F7D6-6546-8554-11888A9984A2}" name="2024-06-01" totalsRowFunction="custom" dataDxfId="14" totalsRowDxfId="13">
      <totalsRowFormula>SUMIF(Table32810[[Movement]:[Movement]],"Credit", Table32810[2024-06-01])-SUMIF(Table32810[[Movement]:[Movement]],"Debit", Table32810[2024-06-01])</totalsRowFormula>
    </tableColumn>
    <tableColumn id="9" xr3:uid="{FE62F661-5418-9F4D-9296-96235170EEE2}" name="2024-07-01" totalsRowFunction="custom" dataDxfId="12" totalsRowDxfId="11">
      <totalsRowFormula>SUMIF(Table32810[[Movement]:[Movement]],"Credit", Table32810[2024-07-01])-SUMIF(Table32810[[Movement]:[Movement]],"Debit", Table32810[2024-07-01])</totalsRowFormula>
    </tableColumn>
    <tableColumn id="10" xr3:uid="{EC9FF017-0724-754A-A9F0-748CE63A36A8}" name="2024-08-01" totalsRowFunction="custom" dataDxfId="10" totalsRowDxfId="9">
      <totalsRowFormula>SUMIF(Table32810[[Movement]:[Movement]],"Credit", Table32810[2024-08-01])-SUMIF(Table32810[[Movement]:[Movement]],"Debit", Table32810[2024-08-01])</totalsRowFormula>
    </tableColumn>
    <tableColumn id="11" xr3:uid="{7E66D972-3166-8A43-A093-BCA6C3942C4A}" name="2024-09-01" totalsRowFunction="custom" dataDxfId="8" totalsRowDxfId="7">
      <totalsRowFormula>SUMIF(Table32810[[Movement]:[Movement]],"Credit", Table32810[2024-09-01])-SUMIF(Table32810[[Movement]:[Movement]],"Debit", Table32810[2024-09-01])</totalsRowFormula>
    </tableColumn>
    <tableColumn id="12" xr3:uid="{840B9A2E-DC2B-9A4F-8617-982B6F6D108A}" name="2024-10-01" totalsRowFunction="custom" dataDxfId="6" totalsRowDxfId="5">
      <totalsRowFormula>SUMIF(Table32810[[Movement]:[Movement]],"Credit", Table32810[2024-10-01])-SUMIF(Table32810[[Movement]:[Movement]],"Debit", Table32810[2024-10-01])</totalsRowFormula>
    </tableColumn>
    <tableColumn id="13" xr3:uid="{0D33C5AC-1054-174A-B4A6-9D8972553972}" name="2024-11-01" totalsRowFunction="custom" dataDxfId="4" totalsRowDxfId="3">
      <totalsRowFormula>SUMIF(Table32810[[Movement]:[Movement]],"Credit", Table32810[2024-11-01])-SUMIF(Table32810[[Movement]:[Movement]],"Debit", Table32810[2024-11-01])</totalsRowFormula>
    </tableColumn>
    <tableColumn id="14" xr3:uid="{DD93DC27-7299-434C-852A-9DE22656D361}" name="2024-12-01" totalsRowFunction="custom" dataDxfId="2" totalsRowDxfId="1">
      <totalsRowFormula>SUMIF(Table32810[[Movement]:[Movement]],"Credit", Table32810[2024-12-01])-SUMIF(Table32810[[Movement]:[Movement]],"Debit", Table32810[2024-12-01])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dimension ref="A1:K35"/>
  <sheetViews>
    <sheetView showGridLines="0" zoomScale="163" workbookViewId="0">
      <selection activeCell="K35" sqref="K35"/>
    </sheetView>
  </sheetViews>
  <sheetFormatPr baseColWidth="10" defaultRowHeight="16" x14ac:dyDescent="0.2"/>
  <cols>
    <col min="2" max="2" width="25.6640625" bestFit="1" customWidth="1"/>
    <col min="3" max="3" width="20" hidden="1" customWidth="1"/>
    <col min="4" max="5" width="15.1640625" style="1" hidden="1" customWidth="1"/>
    <col min="6" max="10" width="15.1640625" hidden="1" customWidth="1"/>
    <col min="11" max="11" width="15.1640625" bestFit="1" customWidth="1"/>
  </cols>
  <sheetData>
    <row r="1" spans="1:11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</row>
    <row r="2" spans="1:11" s="2" customFormat="1" ht="22" x14ac:dyDescent="0.3">
      <c r="A2" s="43" t="s">
        <v>50</v>
      </c>
      <c r="B2" s="43" t="s">
        <v>37</v>
      </c>
      <c r="C2" s="23">
        <v>27000</v>
      </c>
      <c r="D2" s="23">
        <v>27000</v>
      </c>
      <c r="E2" s="55">
        <v>21600</v>
      </c>
      <c r="F2" s="23">
        <v>21600</v>
      </c>
      <c r="G2" s="23">
        <v>21600</v>
      </c>
      <c r="H2" s="23">
        <v>21600</v>
      </c>
      <c r="I2" s="23">
        <v>21600</v>
      </c>
      <c r="J2" s="23">
        <v>25100</v>
      </c>
      <c r="K2" s="23">
        <v>25100</v>
      </c>
    </row>
    <row r="3" spans="1:11" s="2" customFormat="1" ht="22" x14ac:dyDescent="0.3">
      <c r="A3" s="43" t="s">
        <v>50</v>
      </c>
      <c r="B3" s="43" t="s">
        <v>78</v>
      </c>
      <c r="C3" s="23">
        <v>1325</v>
      </c>
      <c r="D3" s="23">
        <v>1325</v>
      </c>
      <c r="E3" s="23">
        <v>1325</v>
      </c>
      <c r="F3" s="23">
        <v>1325</v>
      </c>
      <c r="G3" s="23">
        <v>1325</v>
      </c>
      <c r="H3" s="23">
        <v>1000</v>
      </c>
      <c r="I3" s="23">
        <v>1000</v>
      </c>
      <c r="J3" s="23">
        <v>1169</v>
      </c>
      <c r="K3" s="23">
        <v>1169</v>
      </c>
    </row>
    <row r="4" spans="1:11" s="2" customFormat="1" ht="22" x14ac:dyDescent="0.3">
      <c r="A4" s="54" t="s">
        <v>50</v>
      </c>
      <c r="B4" s="54" t="s">
        <v>36</v>
      </c>
      <c r="C4" s="23"/>
      <c r="D4" s="23"/>
      <c r="E4" s="23"/>
      <c r="F4" s="23">
        <v>750</v>
      </c>
      <c r="G4" s="23">
        <v>1250</v>
      </c>
      <c r="H4" s="23"/>
      <c r="I4" s="23">
        <v>250</v>
      </c>
      <c r="J4" s="23"/>
      <c r="K4" s="23"/>
    </row>
    <row r="5" spans="1:11" s="2" customFormat="1" ht="22" x14ac:dyDescent="0.3">
      <c r="A5" s="54" t="s">
        <v>50</v>
      </c>
      <c r="B5" s="54" t="s">
        <v>30</v>
      </c>
      <c r="C5" s="23"/>
      <c r="D5" s="23"/>
      <c r="E5" s="23"/>
      <c r="F5" s="23"/>
      <c r="G5" s="23"/>
      <c r="H5" s="23">
        <v>0</v>
      </c>
      <c r="I5" s="23">
        <v>3500</v>
      </c>
      <c r="J5" s="23"/>
      <c r="K5" s="23"/>
    </row>
    <row r="6" spans="1:11" s="2" customFormat="1" ht="22" x14ac:dyDescent="0.3">
      <c r="A6" s="54" t="s">
        <v>50</v>
      </c>
      <c r="B6" s="54" t="s">
        <v>87</v>
      </c>
      <c r="C6" s="23"/>
      <c r="D6" s="23"/>
      <c r="E6" s="23"/>
      <c r="F6" s="23"/>
      <c r="G6" s="23">
        <v>5700</v>
      </c>
      <c r="H6" s="23"/>
      <c r="I6" s="23"/>
      <c r="J6" s="23"/>
      <c r="K6" s="23"/>
    </row>
    <row r="7" spans="1:11" s="2" customFormat="1" ht="22" x14ac:dyDescent="0.3">
      <c r="A7" s="43" t="s">
        <v>50</v>
      </c>
      <c r="B7" s="43" t="s">
        <v>16</v>
      </c>
      <c r="C7" s="23">
        <v>7700</v>
      </c>
      <c r="D7" s="23">
        <v>7700</v>
      </c>
      <c r="E7" s="55">
        <v>7000</v>
      </c>
      <c r="F7" s="23">
        <v>6800</v>
      </c>
      <c r="G7" s="23">
        <v>7000</v>
      </c>
      <c r="H7" s="23">
        <v>7300</v>
      </c>
      <c r="I7" s="23">
        <v>7750</v>
      </c>
      <c r="J7" s="23">
        <v>8000</v>
      </c>
      <c r="K7" s="23">
        <v>8000</v>
      </c>
    </row>
    <row r="8" spans="1:11" s="3" customFormat="1" ht="22" x14ac:dyDescent="0.3">
      <c r="A8" s="39" t="s">
        <v>51</v>
      </c>
      <c r="B8" s="39" t="s">
        <v>10</v>
      </c>
      <c r="C8" s="40">
        <v>500</v>
      </c>
      <c r="D8" s="40">
        <v>1500</v>
      </c>
      <c r="E8" s="56">
        <v>250</v>
      </c>
      <c r="F8" s="40">
        <v>500</v>
      </c>
      <c r="G8" s="40">
        <v>500</v>
      </c>
      <c r="H8" s="40">
        <v>1000</v>
      </c>
      <c r="I8" s="40">
        <v>750</v>
      </c>
      <c r="J8" s="40">
        <v>1000</v>
      </c>
      <c r="K8" s="40">
        <v>1000</v>
      </c>
    </row>
    <row r="9" spans="1:11" s="3" customFormat="1" ht="22" x14ac:dyDescent="0.3">
      <c r="A9" s="39" t="s">
        <v>51</v>
      </c>
      <c r="B9" s="39" t="s">
        <v>1</v>
      </c>
      <c r="C9" s="40">
        <v>8140</v>
      </c>
      <c r="D9" s="40">
        <v>8140</v>
      </c>
      <c r="E9" s="40">
        <v>8140</v>
      </c>
      <c r="F9" s="40">
        <v>8140</v>
      </c>
      <c r="G9" s="40">
        <v>8140</v>
      </c>
      <c r="H9" s="40">
        <v>8140</v>
      </c>
      <c r="I9" s="40">
        <v>8140</v>
      </c>
      <c r="J9" s="40">
        <v>8140</v>
      </c>
      <c r="K9" s="40">
        <v>8140</v>
      </c>
    </row>
    <row r="10" spans="1:11" s="3" customFormat="1" ht="22" x14ac:dyDescent="0.3">
      <c r="A10" s="39" t="s">
        <v>51</v>
      </c>
      <c r="B10" s="39" t="s">
        <v>2</v>
      </c>
      <c r="C10" s="40">
        <v>3500</v>
      </c>
      <c r="D10" s="40">
        <v>3578</v>
      </c>
      <c r="E10" s="56">
        <v>3578</v>
      </c>
      <c r="F10" s="40">
        <v>3578</v>
      </c>
      <c r="G10" s="40">
        <v>3578</v>
      </c>
      <c r="H10" s="40">
        <v>3578</v>
      </c>
      <c r="I10" s="40">
        <v>3578</v>
      </c>
      <c r="J10" s="40">
        <v>3578</v>
      </c>
      <c r="K10" s="40">
        <v>3578</v>
      </c>
    </row>
    <row r="11" spans="1:11" s="3" customFormat="1" ht="22" x14ac:dyDescent="0.3">
      <c r="A11" s="39" t="s">
        <v>51</v>
      </c>
      <c r="B11" s="39" t="s">
        <v>3</v>
      </c>
      <c r="C11" s="40">
        <v>3100</v>
      </c>
      <c r="D11" s="40">
        <v>1700</v>
      </c>
      <c r="E11" s="40">
        <v>1820</v>
      </c>
      <c r="F11" s="40">
        <v>1820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</row>
    <row r="12" spans="1:11" s="38" customFormat="1" ht="22" x14ac:dyDescent="0.3">
      <c r="A12" s="39" t="s">
        <v>51</v>
      </c>
      <c r="B12" s="41" t="s">
        <v>4</v>
      </c>
      <c r="C12" s="37">
        <v>4530</v>
      </c>
      <c r="D12" s="37">
        <v>4530</v>
      </c>
      <c r="E12" s="37">
        <v>4530</v>
      </c>
      <c r="F12" s="37">
        <v>4530</v>
      </c>
      <c r="G12" s="37">
        <v>5600</v>
      </c>
      <c r="H12" s="37">
        <v>5600</v>
      </c>
      <c r="I12" s="37">
        <v>5600</v>
      </c>
      <c r="J12" s="37">
        <v>5600</v>
      </c>
      <c r="K12" s="37">
        <v>5600</v>
      </c>
    </row>
    <row r="13" spans="1:11" s="38" customFormat="1" ht="22" x14ac:dyDescent="0.3">
      <c r="A13" s="39" t="s">
        <v>51</v>
      </c>
      <c r="B13" s="39" t="s">
        <v>21</v>
      </c>
      <c r="C13" s="40">
        <v>110</v>
      </c>
      <c r="D13" s="40">
        <v>170</v>
      </c>
      <c r="E13" s="40">
        <v>170</v>
      </c>
      <c r="F13" s="40">
        <v>170</v>
      </c>
      <c r="G13" s="40">
        <v>170</v>
      </c>
      <c r="H13" s="40">
        <v>170</v>
      </c>
      <c r="I13" s="40">
        <v>170</v>
      </c>
      <c r="J13" s="40">
        <v>170</v>
      </c>
      <c r="K13" s="40">
        <v>170</v>
      </c>
    </row>
    <row r="14" spans="1:11" s="38" customFormat="1" ht="22" x14ac:dyDescent="0.3">
      <c r="A14" s="39" t="s">
        <v>51</v>
      </c>
      <c r="B14" s="41" t="s">
        <v>5</v>
      </c>
      <c r="C14" s="37">
        <v>117</v>
      </c>
      <c r="D14" s="37">
        <v>117</v>
      </c>
      <c r="E14" s="37">
        <v>117</v>
      </c>
      <c r="F14" s="37">
        <v>117</v>
      </c>
      <c r="G14" s="37">
        <v>117</v>
      </c>
      <c r="H14" s="37">
        <v>117</v>
      </c>
      <c r="I14" s="37">
        <v>117</v>
      </c>
      <c r="J14" s="37">
        <v>117</v>
      </c>
      <c r="K14" s="37">
        <v>117</v>
      </c>
    </row>
    <row r="15" spans="1:11" s="38" customFormat="1" ht="22" x14ac:dyDescent="0.3">
      <c r="A15" s="39" t="s">
        <v>51</v>
      </c>
      <c r="B15" s="39" t="s">
        <v>6</v>
      </c>
      <c r="C15" s="40">
        <v>1050</v>
      </c>
      <c r="D15" s="40">
        <v>988</v>
      </c>
      <c r="E15" s="56">
        <v>988</v>
      </c>
      <c r="F15" s="40">
        <v>988</v>
      </c>
      <c r="G15" s="40">
        <v>988</v>
      </c>
      <c r="H15" s="40">
        <v>988</v>
      </c>
      <c r="I15" s="40">
        <v>988</v>
      </c>
      <c r="J15" s="40">
        <v>988</v>
      </c>
      <c r="K15" s="40">
        <v>988</v>
      </c>
    </row>
    <row r="16" spans="1:11" s="38" customFormat="1" ht="22" x14ac:dyDescent="0.3">
      <c r="A16" s="39" t="s">
        <v>51</v>
      </c>
      <c r="B16" s="41" t="s">
        <v>7</v>
      </c>
      <c r="C16" s="37">
        <v>1200</v>
      </c>
      <c r="D16" s="37">
        <v>560</v>
      </c>
      <c r="E16" s="37">
        <v>560</v>
      </c>
      <c r="F16" s="37">
        <v>560</v>
      </c>
      <c r="G16" s="37">
        <v>560</v>
      </c>
      <c r="H16" s="37">
        <v>560</v>
      </c>
      <c r="I16" s="37">
        <v>610</v>
      </c>
      <c r="J16" s="37">
        <v>610</v>
      </c>
      <c r="K16" s="37">
        <v>610</v>
      </c>
    </row>
    <row r="17" spans="1:11" s="38" customFormat="1" ht="22" x14ac:dyDescent="0.3">
      <c r="A17" s="39" t="s">
        <v>51</v>
      </c>
      <c r="B17" s="39" t="s">
        <v>8</v>
      </c>
      <c r="C17" s="40">
        <v>440</v>
      </c>
      <c r="D17" s="40">
        <v>440</v>
      </c>
      <c r="E17" s="40">
        <v>440</v>
      </c>
      <c r="F17" s="40">
        <v>440</v>
      </c>
      <c r="G17" s="40">
        <v>440</v>
      </c>
      <c r="H17" s="40">
        <v>440</v>
      </c>
      <c r="I17" s="40">
        <v>440</v>
      </c>
      <c r="J17" s="40">
        <v>440</v>
      </c>
      <c r="K17" s="40">
        <v>440</v>
      </c>
    </row>
    <row r="18" spans="1:11" s="38" customFormat="1" ht="22" x14ac:dyDescent="0.3">
      <c r="A18" s="39" t="s">
        <v>51</v>
      </c>
      <c r="B18" s="39" t="s">
        <v>15</v>
      </c>
      <c r="C18" s="40">
        <v>600</v>
      </c>
      <c r="D18" s="40">
        <v>600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</row>
    <row r="19" spans="1:11" s="38" customFormat="1" ht="22" x14ac:dyDescent="0.3">
      <c r="A19" s="39" t="s">
        <v>51</v>
      </c>
      <c r="B19" s="41" t="s">
        <v>13</v>
      </c>
      <c r="C19" s="37">
        <v>3500</v>
      </c>
      <c r="D19" s="37">
        <v>3500</v>
      </c>
      <c r="E19" s="57">
        <v>3500</v>
      </c>
      <c r="F19" s="37">
        <v>3500</v>
      </c>
      <c r="G19" s="37">
        <v>3500</v>
      </c>
      <c r="H19" s="37">
        <v>4000</v>
      </c>
      <c r="I19" s="37">
        <v>4000</v>
      </c>
      <c r="J19" s="37">
        <v>3700</v>
      </c>
      <c r="K19" s="37">
        <v>3700</v>
      </c>
    </row>
    <row r="20" spans="1:11" s="38" customFormat="1" ht="22" x14ac:dyDescent="0.3">
      <c r="A20" s="39" t="s">
        <v>51</v>
      </c>
      <c r="B20" s="39" t="s">
        <v>47</v>
      </c>
      <c r="C20" s="40">
        <v>1000</v>
      </c>
      <c r="D20" s="40">
        <v>1000</v>
      </c>
      <c r="E20" s="56">
        <v>1000</v>
      </c>
      <c r="F20" s="40">
        <v>1000</v>
      </c>
      <c r="G20" s="40">
        <v>1000</v>
      </c>
      <c r="H20" s="40">
        <v>1000</v>
      </c>
      <c r="I20" s="40">
        <v>1000</v>
      </c>
      <c r="J20" s="40">
        <v>1000</v>
      </c>
      <c r="K20" s="40">
        <v>1000</v>
      </c>
    </row>
    <row r="21" spans="1:11" s="38" customFormat="1" ht="22" x14ac:dyDescent="0.3">
      <c r="A21" s="39" t="s">
        <v>51</v>
      </c>
      <c r="B21" s="41" t="s">
        <v>14</v>
      </c>
      <c r="C21" s="37">
        <v>1000</v>
      </c>
      <c r="D21" s="37">
        <v>1500</v>
      </c>
      <c r="E21" s="57">
        <v>250</v>
      </c>
      <c r="F21" s="37">
        <v>500</v>
      </c>
      <c r="G21" s="37">
        <v>900</v>
      </c>
      <c r="H21" s="37">
        <v>200</v>
      </c>
      <c r="I21" s="37">
        <v>150</v>
      </c>
      <c r="J21" s="37">
        <v>900</v>
      </c>
      <c r="K21" s="37">
        <v>900</v>
      </c>
    </row>
    <row r="22" spans="1:11" s="38" customFormat="1" ht="22" x14ac:dyDescent="0.3">
      <c r="A22" s="39" t="s">
        <v>51</v>
      </c>
      <c r="B22" s="39" t="s">
        <v>79</v>
      </c>
      <c r="C22" s="40">
        <v>5000</v>
      </c>
      <c r="D22" s="40">
        <v>4300</v>
      </c>
      <c r="E22" s="40">
        <v>3000</v>
      </c>
      <c r="F22" s="40">
        <v>3500</v>
      </c>
      <c r="G22" s="40">
        <v>3200</v>
      </c>
      <c r="H22" s="40">
        <v>3000</v>
      </c>
      <c r="I22" s="40">
        <v>3500</v>
      </c>
      <c r="J22" s="40">
        <v>4000</v>
      </c>
      <c r="K22" s="40">
        <v>4000</v>
      </c>
    </row>
    <row r="23" spans="1:11" s="38" customFormat="1" ht="22" x14ac:dyDescent="0.3">
      <c r="A23" s="39" t="s">
        <v>51</v>
      </c>
      <c r="B23" s="39" t="s">
        <v>48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</row>
    <row r="24" spans="1:11" s="3" customFormat="1" ht="22" x14ac:dyDescent="0.3">
      <c r="A24" s="39" t="s">
        <v>51</v>
      </c>
      <c r="B24" s="39" t="s">
        <v>36</v>
      </c>
      <c r="C24" s="40">
        <v>500</v>
      </c>
      <c r="D24" s="40">
        <v>200</v>
      </c>
      <c r="E24" s="40"/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</row>
    <row r="25" spans="1:11" s="3" customFormat="1" ht="22" x14ac:dyDescent="0.3">
      <c r="A25" s="39" t="s">
        <v>51</v>
      </c>
      <c r="B25" s="41" t="s">
        <v>25</v>
      </c>
      <c r="C25" s="37">
        <v>1000</v>
      </c>
      <c r="D25" s="37">
        <v>1000</v>
      </c>
      <c r="E25" s="37">
        <v>0</v>
      </c>
      <c r="F25" s="37"/>
      <c r="G25" s="37">
        <v>500</v>
      </c>
      <c r="H25" s="37">
        <v>1000</v>
      </c>
      <c r="I25" s="37">
        <v>500</v>
      </c>
      <c r="J25" s="37">
        <v>500</v>
      </c>
      <c r="K25" s="37">
        <v>500</v>
      </c>
    </row>
    <row r="26" spans="1:11" s="3" customFormat="1" ht="22" x14ac:dyDescent="0.3">
      <c r="A26" s="39" t="s">
        <v>51</v>
      </c>
      <c r="B26" s="41" t="s">
        <v>46</v>
      </c>
      <c r="C26" s="37">
        <v>200</v>
      </c>
      <c r="D26" s="37">
        <v>200</v>
      </c>
      <c r="E26" s="57">
        <v>200</v>
      </c>
      <c r="F26" s="37">
        <v>200</v>
      </c>
      <c r="G26" s="37">
        <v>200</v>
      </c>
      <c r="H26" s="60">
        <v>0</v>
      </c>
      <c r="I26" s="37">
        <v>200</v>
      </c>
      <c r="J26" s="37">
        <v>200</v>
      </c>
      <c r="K26" s="37">
        <v>200</v>
      </c>
    </row>
    <row r="27" spans="1:11" s="3" customFormat="1" ht="22" x14ac:dyDescent="0.3">
      <c r="A27" s="39" t="s">
        <v>51</v>
      </c>
      <c r="B27" s="41" t="s">
        <v>19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</row>
    <row r="28" spans="1:11" s="3" customFormat="1" ht="22" x14ac:dyDescent="0.3">
      <c r="A28" s="42" t="s">
        <v>51</v>
      </c>
      <c r="B28" s="42" t="s">
        <v>81</v>
      </c>
      <c r="C28" s="40"/>
      <c r="D28" s="40"/>
      <c r="E28" s="56">
        <v>640</v>
      </c>
      <c r="F28" s="40">
        <v>0</v>
      </c>
      <c r="G28" s="40">
        <v>0</v>
      </c>
      <c r="H28" s="40">
        <v>0</v>
      </c>
      <c r="I28" s="40">
        <v>0</v>
      </c>
      <c r="J28" s="40">
        <v>500</v>
      </c>
      <c r="K28" s="40">
        <v>500</v>
      </c>
    </row>
    <row r="29" spans="1:11" s="3" customFormat="1" ht="22" x14ac:dyDescent="0.3">
      <c r="A29" s="42" t="s">
        <v>51</v>
      </c>
      <c r="B29" s="42" t="s">
        <v>17</v>
      </c>
      <c r="C29" s="40"/>
      <c r="D29" s="40"/>
      <c r="E29" s="40">
        <v>600</v>
      </c>
      <c r="F29" s="40">
        <v>600</v>
      </c>
      <c r="G29" s="40"/>
      <c r="H29" s="40">
        <v>580</v>
      </c>
      <c r="I29" s="40"/>
      <c r="J29" s="40"/>
      <c r="K29" s="40"/>
    </row>
    <row r="30" spans="1:11" s="3" customFormat="1" ht="22" x14ac:dyDescent="0.3">
      <c r="A30" s="42" t="s">
        <v>51</v>
      </c>
      <c r="B30" s="42" t="s">
        <v>91</v>
      </c>
      <c r="C30" s="40"/>
      <c r="D30" s="40"/>
      <c r="E30" s="40"/>
      <c r="F30" s="40"/>
      <c r="G30" s="40"/>
      <c r="H30" s="40"/>
      <c r="I30" s="63">
        <v>2227</v>
      </c>
      <c r="J30" s="40"/>
      <c r="K30" s="40"/>
    </row>
    <row r="31" spans="1:11" s="3" customFormat="1" ht="22" x14ac:dyDescent="0.3">
      <c r="A31" s="42" t="s">
        <v>51</v>
      </c>
      <c r="B31" s="42" t="s">
        <v>92</v>
      </c>
      <c r="C31" s="40"/>
      <c r="D31" s="40"/>
      <c r="E31" s="40"/>
      <c r="F31" s="40"/>
      <c r="G31" s="40"/>
      <c r="H31" s="40"/>
      <c r="I31" s="40">
        <v>2065</v>
      </c>
      <c r="J31" s="40"/>
      <c r="K31" s="40"/>
    </row>
    <row r="32" spans="1:11" s="3" customFormat="1" ht="22" x14ac:dyDescent="0.3">
      <c r="A32" s="42" t="s">
        <v>51</v>
      </c>
      <c r="B32" s="42" t="s">
        <v>85</v>
      </c>
      <c r="C32" s="40"/>
      <c r="D32" s="40"/>
      <c r="E32" s="40"/>
      <c r="F32" s="40">
        <v>500</v>
      </c>
      <c r="G32" s="40">
        <v>500</v>
      </c>
      <c r="H32" s="40"/>
      <c r="I32" s="40"/>
      <c r="J32" s="40"/>
      <c r="K32" s="40"/>
    </row>
    <row r="33" spans="1:11" s="3" customFormat="1" ht="22" x14ac:dyDescent="0.3">
      <c r="A33" s="42" t="s">
        <v>51</v>
      </c>
      <c r="B33" s="42" t="s">
        <v>88</v>
      </c>
      <c r="C33" s="40"/>
      <c r="D33" s="40"/>
      <c r="E33" s="40"/>
      <c r="F33" s="40"/>
      <c r="G33" s="40"/>
      <c r="H33" s="40"/>
      <c r="I33" s="40"/>
      <c r="J33" s="40"/>
      <c r="K33" s="40"/>
    </row>
    <row r="34" spans="1:11" s="3" customFormat="1" ht="22" x14ac:dyDescent="0.3">
      <c r="A34" s="39" t="s">
        <v>51</v>
      </c>
      <c r="B34" s="39" t="s">
        <v>30</v>
      </c>
      <c r="C34" s="40">
        <v>0</v>
      </c>
      <c r="D34" s="40">
        <v>500</v>
      </c>
      <c r="E34" s="40"/>
      <c r="F34" s="40"/>
      <c r="G34" s="58">
        <v>5000</v>
      </c>
      <c r="H34" s="40"/>
      <c r="I34" s="40"/>
      <c r="J34" s="40">
        <v>3000</v>
      </c>
      <c r="K34" s="40">
        <v>3000</v>
      </c>
    </row>
    <row r="35" spans="1:11" ht="22" x14ac:dyDescent="0.3">
      <c r="A35" s="32" t="s">
        <v>77</v>
      </c>
      <c r="B35" s="32" t="s">
        <v>0</v>
      </c>
      <c r="C35" s="12">
        <f>SUMIF(Table32[[#Data],[#Totals],[Movement]],"Credit", Table32[[#Data],[#Totals],[2024-05-01]])-SUMIF(Table32[[#Data],[#Totals],[Movement]],"Debit", Table32[[#Data],[#Totals],[2024-05-01]])</f>
        <v>538</v>
      </c>
      <c r="D35" s="12">
        <f>SUMIF(Table32[[#Data],[#Totals],[Movement]],"Credit", Table32[[#Data],[#Totals],[2024-06-01]])-SUMIF(Table32[[#Data],[#Totals],[Movement]],"Debit", Table32[[#Data],[#Totals],[2024-06-01]])</f>
        <v>1502</v>
      </c>
      <c r="E35" s="12">
        <f>SUMIF(Table32[[#Data],[#Totals],[Movement]],"Credit", Table32[[#Data],[#Totals],[2024-07-01]])-SUMIF(Table32[[#Data],[#Totals],[Movement]],"Debit", Table32[[#Data],[#Totals],[2024-07-01]])</f>
        <v>142</v>
      </c>
      <c r="F35" s="12">
        <f>SUMIF(Table32[[#Data],[#Totals],[Movement]],"Credit", Table32[[#Data],[#Totals],[2024-08-01]])-SUMIF(Table32[[#Data],[#Totals],[Movement]],"Debit", Table32[[#Data],[#Totals],[2024-08-01]])</f>
        <v>-168</v>
      </c>
      <c r="G35" s="12">
        <f>SUMIF(Table32[[#Data],[#Totals],[Movement]],"Credit", Table32[[#Data],[#Totals],[2024-09-01]])-SUMIF(Table32[[#Data],[#Totals],[Movement]],"Debit", Table32[[#Data],[#Totals],[2024-09-01]])</f>
        <v>1982</v>
      </c>
      <c r="H35" s="12">
        <f>SUMIF(Table32[[#Data],[#Totals],[Movement]],"Credit", Table32[[#Data],[#Totals],[2024-10-01]])-SUMIF(Table32[[#Data],[#Totals],[Movement]],"Debit", Table32[[#Data],[#Totals],[2024-10-01]])</f>
        <v>-473</v>
      </c>
      <c r="I35" s="12">
        <f>SUMIF(Table32[[#Data],[#Totals],[Movement]],"Credit", Table32[[#Data],[#Totals],[2024-11-01]])-SUMIF(Table32[[#Data],[#Totals],[Movement]],"Debit", Table32[[#Data],[#Totals],[2024-11-01]])</f>
        <v>65</v>
      </c>
      <c r="J35" s="12">
        <f>SUMIF(Table32[[#Data],[#Totals],[Movement]],"Credit", Table32[[#Data],[#Totals],[2024-12-01]])-SUMIF(Table32[[#Data],[#Totals],[Movement]],"Debit", Table32[[#Data],[#Totals],[2024-12-01]])</f>
        <v>-174</v>
      </c>
      <c r="K35" s="12">
        <f>SUMIF(Table32[[#Data],[#Totals],[Movement]],"Credit", Table32[[#Data],[#Totals],[2024-12-01]])-SUMIF(Table32[[#Data],[#Totals],[Movement]],"Debit", Table32[[#Data],[#Totals],[2024-12-01]])</f>
        <v>-174</v>
      </c>
    </row>
  </sheetData>
  <phoneticPr fontId="4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CD2B-2256-0F41-865B-B317649342C8}">
  <dimension ref="A1:K19"/>
  <sheetViews>
    <sheetView tabSelected="1" workbookViewId="0">
      <selection activeCell="H17" sqref="H17"/>
    </sheetView>
  </sheetViews>
  <sheetFormatPr baseColWidth="10" defaultRowHeight="16" x14ac:dyDescent="0.2"/>
  <cols>
    <col min="1" max="1" width="22" customWidth="1"/>
    <col min="2" max="2" width="22.5" customWidth="1"/>
  </cols>
  <sheetData>
    <row r="1" spans="1:11" x14ac:dyDescent="0.2">
      <c r="A1" t="s">
        <v>93</v>
      </c>
      <c r="B1" t="s">
        <v>94</v>
      </c>
      <c r="C1" t="s">
        <v>95</v>
      </c>
    </row>
    <row r="2" spans="1:11" x14ac:dyDescent="0.2">
      <c r="G2">
        <v>17112</v>
      </c>
      <c r="K2" t="s">
        <v>98</v>
      </c>
    </row>
    <row r="3" spans="1:11" x14ac:dyDescent="0.2">
      <c r="A3" s="64" t="s">
        <v>16</v>
      </c>
      <c r="B3" s="65">
        <v>8000</v>
      </c>
      <c r="C3" s="65">
        <v>8000</v>
      </c>
      <c r="K3">
        <v>7690</v>
      </c>
    </row>
    <row r="4" spans="1:11" x14ac:dyDescent="0.2">
      <c r="A4" s="64" t="s">
        <v>78</v>
      </c>
      <c r="B4" s="65">
        <v>1169</v>
      </c>
      <c r="C4" s="65">
        <v>1169</v>
      </c>
      <c r="G4">
        <v>1169</v>
      </c>
      <c r="J4" t="s">
        <v>99</v>
      </c>
      <c r="K4">
        <v>-400</v>
      </c>
    </row>
    <row r="5" spans="1:11" x14ac:dyDescent="0.2">
      <c r="A5" s="64" t="s">
        <v>46</v>
      </c>
      <c r="B5" s="65">
        <v>-200</v>
      </c>
      <c r="C5" s="65">
        <v>-200</v>
      </c>
      <c r="J5" t="s">
        <v>100</v>
      </c>
      <c r="K5">
        <v>-1000</v>
      </c>
    </row>
    <row r="6" spans="1:11" x14ac:dyDescent="0.2">
      <c r="A6" s="64" t="s">
        <v>7</v>
      </c>
      <c r="B6" s="65">
        <v>-610</v>
      </c>
      <c r="C6" s="65">
        <v>1220</v>
      </c>
      <c r="G6">
        <v>-1220</v>
      </c>
      <c r="J6" t="s">
        <v>101</v>
      </c>
      <c r="K6">
        <v>-3000</v>
      </c>
    </row>
    <row r="7" spans="1:11" x14ac:dyDescent="0.2">
      <c r="A7" s="64" t="s">
        <v>1</v>
      </c>
      <c r="B7" s="65">
        <v>-8140</v>
      </c>
      <c r="C7" s="65">
        <v>-8140</v>
      </c>
      <c r="G7">
        <v>-8020</v>
      </c>
      <c r="J7" t="s">
        <v>102</v>
      </c>
      <c r="K7">
        <v>1290</v>
      </c>
    </row>
    <row r="8" spans="1:11" x14ac:dyDescent="0.2">
      <c r="A8" s="64" t="s">
        <v>47</v>
      </c>
      <c r="B8" s="65">
        <v>-1000</v>
      </c>
      <c r="C8" s="65">
        <v>-1000</v>
      </c>
      <c r="G8">
        <v>-1000</v>
      </c>
      <c r="J8" t="s">
        <v>103</v>
      </c>
      <c r="K8">
        <v>1000</v>
      </c>
    </row>
    <row r="9" spans="1:11" x14ac:dyDescent="0.2">
      <c r="A9" s="64" t="s">
        <v>25</v>
      </c>
      <c r="B9" s="65">
        <v>-500</v>
      </c>
      <c r="C9" s="65"/>
      <c r="J9" t="s">
        <v>104</v>
      </c>
      <c r="K9">
        <v>1000</v>
      </c>
    </row>
    <row r="10" spans="1:11" x14ac:dyDescent="0.2">
      <c r="A10" s="64" t="s">
        <v>8</v>
      </c>
      <c r="B10" s="65">
        <v>-440</v>
      </c>
      <c r="C10" s="65">
        <v>-440</v>
      </c>
      <c r="G10">
        <v>-440</v>
      </c>
    </row>
    <row r="11" spans="1:11" x14ac:dyDescent="0.2">
      <c r="A11" s="64" t="s">
        <v>4</v>
      </c>
      <c r="B11" s="65">
        <v>-5600</v>
      </c>
      <c r="C11" s="65">
        <v>-5600</v>
      </c>
      <c r="G11">
        <v>-5600</v>
      </c>
    </row>
    <row r="12" spans="1:11" x14ac:dyDescent="0.2">
      <c r="A12" s="64" t="s">
        <v>13</v>
      </c>
      <c r="B12" s="65">
        <v>-3700</v>
      </c>
      <c r="C12" s="65">
        <v>-3700</v>
      </c>
      <c r="G12">
        <v>-3400</v>
      </c>
      <c r="H12" t="s">
        <v>105</v>
      </c>
    </row>
    <row r="13" spans="1:11" x14ac:dyDescent="0.2">
      <c r="A13" s="64" t="s">
        <v>21</v>
      </c>
      <c r="B13" s="65">
        <v>-170</v>
      </c>
      <c r="C13" s="65">
        <v>-170</v>
      </c>
      <c r="G13">
        <v>-170</v>
      </c>
    </row>
    <row r="14" spans="1:11" x14ac:dyDescent="0.2">
      <c r="A14" s="64" t="s">
        <v>30</v>
      </c>
      <c r="B14" s="65">
        <v>-3000</v>
      </c>
      <c r="C14" s="65"/>
    </row>
    <row r="15" spans="1:11" x14ac:dyDescent="0.2">
      <c r="A15" s="64" t="s">
        <v>5</v>
      </c>
      <c r="B15" s="65">
        <v>-117</v>
      </c>
      <c r="C15" s="65">
        <v>-117</v>
      </c>
      <c r="G15">
        <v>-117</v>
      </c>
    </row>
    <row r="16" spans="1:11" x14ac:dyDescent="0.2">
      <c r="A16" s="64" t="s">
        <v>6</v>
      </c>
      <c r="B16" s="65">
        <v>-988</v>
      </c>
      <c r="C16" s="65">
        <v>-988</v>
      </c>
      <c r="G16">
        <v>-988</v>
      </c>
    </row>
    <row r="17" spans="1:7" x14ac:dyDescent="0.2">
      <c r="A17" s="64" t="s">
        <v>81</v>
      </c>
      <c r="B17" s="65">
        <v>-500</v>
      </c>
      <c r="C17" s="65">
        <v>-500</v>
      </c>
    </row>
    <row r="18" spans="1:7" x14ac:dyDescent="0.2">
      <c r="A18" s="67" t="s">
        <v>97</v>
      </c>
      <c r="B18" s="68"/>
      <c r="C18" s="68">
        <v>610</v>
      </c>
      <c r="G18">
        <v>610</v>
      </c>
    </row>
    <row r="19" spans="1:7" x14ac:dyDescent="0.2">
      <c r="B19" s="66">
        <f>SUM(B3:B17)</f>
        <v>-15796</v>
      </c>
      <c r="C19" s="66">
        <f>SUM(C3:C18)</f>
        <v>-9856</v>
      </c>
      <c r="G19">
        <f>SUM(G2:G18)</f>
        <v>-2064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FA5A-65C3-DE4D-964E-13540A60950B}">
  <dimension ref="A1:K11"/>
  <sheetViews>
    <sheetView showGridLines="0" zoomScale="137" workbookViewId="0">
      <selection activeCell="L5" sqref="L5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hidden="1" customWidth="1"/>
    <col min="11" max="11" width="15.83203125" customWidth="1"/>
  </cols>
  <sheetData>
    <row r="1" spans="1:11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69" t="s">
        <v>96</v>
      </c>
    </row>
    <row r="2" spans="1:11" s="2" customFormat="1" ht="22" x14ac:dyDescent="0.3">
      <c r="A2" s="44" t="s">
        <v>50</v>
      </c>
      <c r="B2" s="44" t="s">
        <v>37</v>
      </c>
      <c r="C2" s="23">
        <v>11000</v>
      </c>
      <c r="D2" s="23">
        <v>11000</v>
      </c>
      <c r="E2" s="23">
        <v>8800</v>
      </c>
      <c r="F2" s="23">
        <v>8800</v>
      </c>
      <c r="G2" s="23">
        <v>8800</v>
      </c>
      <c r="H2" s="23">
        <v>8800</v>
      </c>
      <c r="I2" s="23">
        <v>8800</v>
      </c>
      <c r="J2" s="23">
        <v>11300</v>
      </c>
      <c r="K2" s="23">
        <v>11300</v>
      </c>
    </row>
    <row r="3" spans="1:11" s="3" customFormat="1" ht="22" x14ac:dyDescent="0.3">
      <c r="A3" s="39" t="s">
        <v>51</v>
      </c>
      <c r="B3" s="39" t="s">
        <v>9</v>
      </c>
      <c r="C3" s="40">
        <v>2000</v>
      </c>
      <c r="D3" s="40">
        <v>2000</v>
      </c>
      <c r="E3" s="40">
        <v>500</v>
      </c>
      <c r="F3" s="40">
        <v>500</v>
      </c>
      <c r="G3" s="40">
        <v>500</v>
      </c>
      <c r="H3" s="40">
        <v>500</v>
      </c>
      <c r="I3" s="40">
        <v>700</v>
      </c>
      <c r="J3" s="40">
        <v>2200</v>
      </c>
      <c r="K3" s="40">
        <v>2200</v>
      </c>
    </row>
    <row r="4" spans="1:11" s="3" customFormat="1" ht="22" x14ac:dyDescent="0.3">
      <c r="A4" s="39" t="s">
        <v>51</v>
      </c>
      <c r="B4" s="41" t="s">
        <v>0</v>
      </c>
      <c r="C4" s="37">
        <v>7700</v>
      </c>
      <c r="D4" s="37">
        <v>7700</v>
      </c>
      <c r="E4" s="37">
        <v>7000</v>
      </c>
      <c r="F4" s="37">
        <v>6800</v>
      </c>
      <c r="G4" s="37">
        <v>7000</v>
      </c>
      <c r="H4" s="37">
        <v>7300</v>
      </c>
      <c r="I4" s="37">
        <v>7750</v>
      </c>
      <c r="J4" s="37">
        <v>8000</v>
      </c>
      <c r="K4" s="37">
        <v>8000</v>
      </c>
    </row>
    <row r="5" spans="1:11" s="38" customFormat="1" ht="22" x14ac:dyDescent="0.3">
      <c r="A5" s="39" t="s">
        <v>51</v>
      </c>
      <c r="B5" s="41" t="s">
        <v>22</v>
      </c>
      <c r="C5" s="37">
        <v>110</v>
      </c>
      <c r="D5" s="37">
        <v>110</v>
      </c>
      <c r="E5" s="37">
        <v>110</v>
      </c>
      <c r="F5" s="37">
        <v>110</v>
      </c>
      <c r="G5" s="37">
        <v>110</v>
      </c>
      <c r="H5" s="37">
        <v>110</v>
      </c>
      <c r="I5" s="37">
        <v>110</v>
      </c>
      <c r="J5" s="37">
        <v>110</v>
      </c>
      <c r="K5" s="37">
        <v>110</v>
      </c>
    </row>
    <row r="6" spans="1:11" s="38" customFormat="1" ht="22" x14ac:dyDescent="0.3">
      <c r="A6" s="39" t="s">
        <v>51</v>
      </c>
      <c r="B6" s="36" t="s">
        <v>80</v>
      </c>
      <c r="C6" s="37">
        <v>900</v>
      </c>
      <c r="D6" s="37">
        <v>900</v>
      </c>
      <c r="E6" s="37">
        <v>900</v>
      </c>
      <c r="F6" s="37">
        <v>900</v>
      </c>
      <c r="G6" s="37"/>
      <c r="H6" s="37"/>
      <c r="I6" s="37"/>
      <c r="J6" s="37"/>
      <c r="K6" s="37"/>
    </row>
    <row r="7" spans="1:11" s="3" customFormat="1" ht="22" x14ac:dyDescent="0.3">
      <c r="A7" s="39" t="s">
        <v>51</v>
      </c>
      <c r="B7" s="41" t="s">
        <v>18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</row>
    <row r="8" spans="1:11" s="3" customFormat="1" ht="22" x14ac:dyDescent="0.3">
      <c r="A8" s="39" t="s">
        <v>51</v>
      </c>
      <c r="B8" s="42" t="s">
        <v>86</v>
      </c>
      <c r="C8" s="40">
        <v>0</v>
      </c>
      <c r="D8" s="40">
        <v>200</v>
      </c>
      <c r="E8" s="40">
        <v>200</v>
      </c>
      <c r="F8" s="40">
        <v>200</v>
      </c>
      <c r="G8" s="40">
        <v>200</v>
      </c>
      <c r="H8" s="40">
        <v>200</v>
      </c>
      <c r="I8" s="40">
        <v>200</v>
      </c>
      <c r="J8" s="40">
        <v>200</v>
      </c>
      <c r="K8" s="40">
        <v>200</v>
      </c>
    </row>
    <row r="9" spans="1:11" s="3" customFormat="1" ht="22" x14ac:dyDescent="0.3">
      <c r="A9" s="42" t="s">
        <v>51</v>
      </c>
      <c r="B9" s="42" t="s">
        <v>83</v>
      </c>
      <c r="C9" s="40"/>
      <c r="D9" s="40"/>
      <c r="E9" s="40"/>
      <c r="F9" s="40"/>
      <c r="G9" s="40"/>
      <c r="H9" s="40">
        <v>607</v>
      </c>
      <c r="I9" s="40"/>
      <c r="J9" s="40"/>
      <c r="K9" s="40"/>
    </row>
    <row r="10" spans="1:11" s="3" customFormat="1" ht="22" x14ac:dyDescent="0.3">
      <c r="A10" s="42" t="s">
        <v>51</v>
      </c>
      <c r="B10" s="39" t="s">
        <v>24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</row>
    <row r="11" spans="1:11" s="47" customFormat="1" ht="22" x14ac:dyDescent="0.3">
      <c r="A11" s="45" t="s">
        <v>77</v>
      </c>
      <c r="B11" s="45" t="s">
        <v>16</v>
      </c>
      <c r="C11" s="46">
        <f>SUMIF(Table325[[Movement]:[Movement]],"Credit", Table325[2024-05-01])-SUMIF(Table325[[Movement]:[Movement]],"Debit",Table325[2024-05-01])</f>
        <v>290</v>
      </c>
      <c r="D11" s="46">
        <f>SUMIF(Table325[[Movement]:[Movement]],"Credit", Table325[2024-06-01])-SUMIF(Table325[[Movement]:[Movement]],"Debit",Table325[2024-06-01])</f>
        <v>90</v>
      </c>
      <c r="E11" s="46">
        <f>SUMIF(Table325[[Movement]:[Movement]],"Credit", Table325[2024-07-01])-SUMIF(Table325[[Movement]:[Movement]],"Debit",Table325[2024-07-01])</f>
        <v>90</v>
      </c>
      <c r="F11" s="46">
        <f>SUMIF(Table325[[Movement]:[Movement]],"Credit", Table325[2024-08-01])-SUMIF(Table325[[Movement]:[Movement]],"Debit",Table325[2024-08-01])</f>
        <v>290</v>
      </c>
      <c r="G11" s="46">
        <f>SUMIF(Table325[[Movement]:[Movement]],"Credit", Table325[2024-09-01])-SUMIF(Table325[[Movement]:[Movement]],"Debit",Table325[2024-09-01])</f>
        <v>990</v>
      </c>
      <c r="H11" s="46">
        <f>SUMIF(Table325[[Movement]:[Movement]],"Credit", Table325[2024-10-01])-SUMIF(Table325[[Movement]:[Movement]],"Debit",Table325[2024-10-01])</f>
        <v>83</v>
      </c>
      <c r="I11" s="46">
        <f>SUMIF(Table325[[Movement]:[Movement]],"Credit", Table325[2024-11-01])-SUMIF(Table325[[Movement]:[Movement]],"Debit",Table325[2024-11-01])</f>
        <v>40</v>
      </c>
      <c r="J11" s="46">
        <f>SUMIF(Table325[[Movement]:[Movement]],"Credit", Table325[2024-12-01])-SUMIF(Table325[[Movement]:[Movement]],"Debit",Table325[2024-12-01])</f>
        <v>790</v>
      </c>
      <c r="K11" s="46">
        <f>SUMIF(Table325[[Movement]:[Movement]],"Credit", Table325[2024-12-02])-SUMIF(Table325[[Movement]:[Movement]],"Debit",Table325[2024-12-02])</f>
        <v>790</v>
      </c>
    </row>
  </sheetData>
  <phoneticPr fontId="4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DF0D-72A7-F24E-9B15-0D8218302531}">
  <dimension ref="A1:J6"/>
  <sheetViews>
    <sheetView showGridLines="0" workbookViewId="0">
      <selection activeCell="H3" sqref="H3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3" width="16" style="1" hidden="1" customWidth="1"/>
    <col min="4" max="4" width="15.1640625" style="1" hidden="1" customWidth="1"/>
    <col min="5" max="7" width="15.1640625" hidden="1" customWidth="1"/>
    <col min="8" max="10" width="15.1640625" bestFit="1" customWidth="1"/>
  </cols>
  <sheetData>
    <row r="1" spans="1:10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15" t="s">
        <v>50</v>
      </c>
      <c r="B2" s="15" t="s">
        <v>0</v>
      </c>
      <c r="C2" s="23">
        <v>500</v>
      </c>
      <c r="D2" s="23">
        <v>1500</v>
      </c>
      <c r="E2" s="23">
        <v>250</v>
      </c>
      <c r="F2" s="23">
        <v>500</v>
      </c>
      <c r="G2" s="23">
        <v>500</v>
      </c>
      <c r="H2" s="23">
        <v>600</v>
      </c>
      <c r="I2" s="23">
        <v>500</v>
      </c>
      <c r="J2" s="23">
        <v>500</v>
      </c>
    </row>
    <row r="3" spans="1:10" s="4" customFormat="1" ht="22" x14ac:dyDescent="0.3">
      <c r="A3" s="16" t="s">
        <v>51</v>
      </c>
      <c r="B3" s="8" t="s">
        <v>11</v>
      </c>
      <c r="C3" s="9">
        <v>0</v>
      </c>
      <c r="D3" s="9">
        <v>200</v>
      </c>
      <c r="E3" s="9">
        <v>200</v>
      </c>
      <c r="F3" s="9">
        <v>200</v>
      </c>
      <c r="G3" s="9">
        <v>200</v>
      </c>
      <c r="H3" s="9">
        <v>200</v>
      </c>
      <c r="I3" s="9">
        <v>200</v>
      </c>
      <c r="J3" s="9">
        <v>200</v>
      </c>
    </row>
    <row r="4" spans="1:10" s="4" customFormat="1" ht="22" x14ac:dyDescent="0.3">
      <c r="A4" s="59" t="s">
        <v>51</v>
      </c>
      <c r="B4" s="16" t="s">
        <v>89</v>
      </c>
      <c r="C4" s="18"/>
      <c r="D4" s="18"/>
      <c r="E4" s="18"/>
      <c r="F4" s="18"/>
      <c r="G4" s="18">
        <v>110</v>
      </c>
      <c r="H4" s="18">
        <v>110</v>
      </c>
      <c r="I4" s="18">
        <v>110</v>
      </c>
      <c r="J4" s="18">
        <v>110</v>
      </c>
    </row>
    <row r="5" spans="1:10" s="4" customFormat="1" ht="22" x14ac:dyDescent="0.3">
      <c r="A5" s="16" t="s">
        <v>51</v>
      </c>
      <c r="B5" s="10" t="s">
        <v>12</v>
      </c>
      <c r="C5" s="11">
        <v>0</v>
      </c>
      <c r="D5" s="11">
        <v>230</v>
      </c>
      <c r="E5" s="11">
        <v>230</v>
      </c>
      <c r="F5" s="11">
        <v>230</v>
      </c>
      <c r="G5" s="11">
        <v>230</v>
      </c>
      <c r="H5" s="11">
        <v>230</v>
      </c>
      <c r="I5" s="11">
        <v>230</v>
      </c>
      <c r="J5" s="11">
        <v>230</v>
      </c>
    </row>
    <row r="6" spans="1:10" ht="22" x14ac:dyDescent="0.3">
      <c r="A6" s="13" t="s">
        <v>77</v>
      </c>
      <c r="B6" s="32" t="s">
        <v>10</v>
      </c>
      <c r="C6" s="12">
        <f>SUMIF(Table323[[Movement]:[Movement]],"Credit", Table323[2024-05-01])-SUMIF(Table323[[Movement]:[Movement]],"Debit", Table323[2024-05-01])</f>
        <v>500</v>
      </c>
      <c r="D6" s="12">
        <f>SUMIF(Table323[[Movement]:[Movement]],"Credit", Table323[2024-06-01])-SUMIF(Table323[[Movement]:[Movement]],"Debit", Table323[2024-06-01])</f>
        <v>1070</v>
      </c>
      <c r="E6" s="12">
        <f>SUMIF(Table323[[Movement]:[Movement]],"Credit", Table323[2024-07-01])-SUMIF(Table323[[Movement]:[Movement]],"Debit", Table323[2024-07-01])</f>
        <v>-180</v>
      </c>
      <c r="F6" s="12">
        <f>SUMIF(Table323[[Movement]:[Movement]],"Credit", Table323[2024-08-01])-SUMIF(Table323[[Movement]:[Movement]],"Debit", Table323[2024-08-01])</f>
        <v>70</v>
      </c>
      <c r="G6" s="12">
        <f>SUMIF(Table323[[Movement]:[Movement]],"Credit", Table323[2024-09-01])-SUMIF(Table323[[Movement]:[Movement]],"Debit", Table323[2024-09-01])</f>
        <v>-40</v>
      </c>
      <c r="H6" s="12">
        <f>SUMIF(Table323[[Movement]:[Movement]],"Credit", Table323[2024-10-01])-SUMIF(Table323[[Movement]:[Movement]],"Debit", Table323[2024-10-01])</f>
        <v>60</v>
      </c>
      <c r="I6" s="12">
        <f>SUMIF(Table323[[Movement]:[Movement]],"Credit", Table323[2024-11-01])-SUMIF(Table323[[Movement]:[Movement]],"Debit", Table323[2024-11-01])</f>
        <v>-40</v>
      </c>
      <c r="J6" s="12">
        <f>SUMIF(Table323[[Movement]:[Movement]],"Credit", Table323[2024-12-01])-SUMIF(Table323[[Movement]:[Movement]],"Debit", Table323[2024-12-01])</f>
        <v>-40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DF37-EEC1-1D4A-AB4A-07B4665E1B14}">
  <dimension ref="A1:J5"/>
  <sheetViews>
    <sheetView workbookViewId="0">
      <selection activeCell="H3" sqref="H3"/>
    </sheetView>
  </sheetViews>
  <sheetFormatPr baseColWidth="10" defaultRowHeight="16" x14ac:dyDescent="0.2"/>
  <cols>
    <col min="2" max="2" width="29.83203125" bestFit="1" customWidth="1"/>
    <col min="3" max="7" width="16.5" hidden="1" customWidth="1"/>
    <col min="8" max="10" width="16.5" customWidth="1"/>
  </cols>
  <sheetData>
    <row r="1" spans="1:10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ht="22" x14ac:dyDescent="0.3">
      <c r="A2" s="22" t="s">
        <v>50</v>
      </c>
      <c r="B2" s="22" t="s">
        <v>16</v>
      </c>
      <c r="C2" s="21">
        <v>2000</v>
      </c>
      <c r="D2" s="21">
        <v>0</v>
      </c>
      <c r="E2" s="21">
        <v>500</v>
      </c>
      <c r="F2" s="21">
        <v>500</v>
      </c>
      <c r="G2" s="21">
        <v>500</v>
      </c>
      <c r="H2" s="21">
        <v>500</v>
      </c>
      <c r="I2" s="21">
        <v>500</v>
      </c>
      <c r="J2" s="21">
        <v>500</v>
      </c>
    </row>
    <row r="3" spans="1:10" s="3" customFormat="1" ht="22" x14ac:dyDescent="0.3">
      <c r="A3" s="25" t="s">
        <v>51</v>
      </c>
      <c r="B3" s="25" t="s">
        <v>84</v>
      </c>
      <c r="C3" s="52"/>
      <c r="D3" s="52"/>
      <c r="E3" s="52">
        <v>3550</v>
      </c>
      <c r="F3" s="52"/>
      <c r="G3" s="52"/>
      <c r="H3" s="52"/>
      <c r="I3" s="52"/>
      <c r="J3" s="52"/>
    </row>
    <row r="4" spans="1:10" s="3" customFormat="1" ht="22" x14ac:dyDescent="0.3">
      <c r="A4" s="25" t="s">
        <v>51</v>
      </c>
      <c r="B4" s="36" t="s">
        <v>17</v>
      </c>
      <c r="C4" s="37">
        <v>0</v>
      </c>
      <c r="D4" s="37">
        <v>0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</row>
    <row r="5" spans="1:10" ht="22" x14ac:dyDescent="0.3">
      <c r="A5" s="32" t="s">
        <v>77</v>
      </c>
      <c r="B5" s="32" t="s">
        <v>9</v>
      </c>
      <c r="C5" s="35">
        <f>SUMIF(Table3254[[Movement]:[Movement]],"Credit", Table3254[2024-05-01])-SUMIF(Table3254[[Movement]:[Movement]],"Debit",Table3254[2024-05-01])</f>
        <v>2000</v>
      </c>
      <c r="D5" s="35">
        <f>SUMIF(Table3254[[Movement]:[Movement]],"Credit", Table3254[2024-06-01])-SUMIF(Table3254[[Movement]:[Movement]],"Debit",Table3254[2024-06-01])</f>
        <v>0</v>
      </c>
      <c r="E5" s="35">
        <f>SUMIF(Table3254[[Movement]:[Movement]],"Credit", Table3254[2024-07-01])-SUMIF(Table3254[[Movement]:[Movement]],"Debit",Table3254[2024-07-01])</f>
        <v>-3050</v>
      </c>
      <c r="F5" s="35">
        <f>SUMIF(Table3254[[Movement]:[Movement]],"Credit", Table3254[2024-08-01])-SUMIF(Table3254[[Movement]:[Movement]],"Debit",Table3254[2024-08-01])</f>
        <v>500</v>
      </c>
      <c r="G5" s="35">
        <f>SUMIF(Table3254[[Movement]:[Movement]],"Credit", Table3254[2024-09-01])-SUMIF(Table3254[[Movement]:[Movement]],"Debit",Table3254[2024-09-01])</f>
        <v>500</v>
      </c>
      <c r="H5" s="35">
        <f>SUMIF(Table3254[[Movement]:[Movement]],"Credit", Table3254[2024-10-01])-SUMIF(Table3254[[Movement]:[Movement]],"Debit",Table3254[2024-10-01])</f>
        <v>500</v>
      </c>
      <c r="I5" s="35">
        <f>SUMIF(Table3254[[Movement]:[Movement]],"Credit", Table3254[2024-11-01])-SUMIF(Table3254[[Movement]:[Movement]],"Debit",Table3254[2024-11-01])</f>
        <v>500</v>
      </c>
      <c r="J5" s="35">
        <f>SUMIF(Table3254[[Movement]:[Movement]],"Credit", Table3254[2024-12-01])-SUMIF(Table3254[[Movement]:[Movement]],"Debit",Table3254[2024-12-01])</f>
        <v>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839C-4430-DC49-9027-EDA3E49A4F64}">
  <dimension ref="A1:AH4"/>
  <sheetViews>
    <sheetView showGridLines="0" workbookViewId="0">
      <selection activeCell="A2" sqref="A2:XFD2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customWidth="1"/>
    <col min="5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s="2" customFormat="1" ht="22" x14ac:dyDescent="0.3">
      <c r="A2" s="15" t="s">
        <v>50</v>
      </c>
      <c r="B2" s="15" t="s">
        <v>0</v>
      </c>
      <c r="C2" s="7"/>
      <c r="D2" s="7"/>
      <c r="E2" s="7">
        <v>8140</v>
      </c>
      <c r="F2" s="7">
        <v>8140</v>
      </c>
      <c r="G2" s="7">
        <v>8140</v>
      </c>
      <c r="H2" s="7">
        <v>8140</v>
      </c>
      <c r="I2" s="7">
        <v>8140</v>
      </c>
      <c r="J2" s="7">
        <v>8140</v>
      </c>
      <c r="K2" s="7">
        <v>8140</v>
      </c>
      <c r="L2" s="7">
        <v>8140</v>
      </c>
      <c r="M2" s="7">
        <v>8140</v>
      </c>
      <c r="N2" s="7">
        <v>8140</v>
      </c>
      <c r="O2" s="7">
        <v>8140</v>
      </c>
      <c r="P2" s="7">
        <v>8140</v>
      </c>
      <c r="Q2" s="7">
        <v>8140</v>
      </c>
      <c r="R2" s="7">
        <v>8140</v>
      </c>
      <c r="S2" s="7">
        <v>8140</v>
      </c>
      <c r="T2" s="7">
        <v>8140</v>
      </c>
      <c r="U2" s="7">
        <v>8140</v>
      </c>
      <c r="V2" s="7">
        <v>8140</v>
      </c>
      <c r="W2" s="7">
        <v>8140</v>
      </c>
      <c r="X2" s="7">
        <v>8140</v>
      </c>
      <c r="Y2" s="7">
        <v>8140</v>
      </c>
      <c r="Z2" s="7">
        <v>8140</v>
      </c>
      <c r="AA2" s="7">
        <v>8140</v>
      </c>
      <c r="AB2" s="7">
        <v>8140</v>
      </c>
      <c r="AC2" s="7">
        <v>8140</v>
      </c>
      <c r="AD2" s="7">
        <v>8140</v>
      </c>
      <c r="AE2" s="7">
        <v>8140</v>
      </c>
      <c r="AF2" s="7">
        <v>8140</v>
      </c>
      <c r="AG2" s="7">
        <v>8140</v>
      </c>
      <c r="AH2" s="7">
        <v>8140</v>
      </c>
    </row>
    <row r="3" spans="1:34" s="3" customFormat="1" ht="22" x14ac:dyDescent="0.3">
      <c r="A3" s="51" t="s">
        <v>51</v>
      </c>
      <c r="B3" s="25" t="s">
        <v>82</v>
      </c>
      <c r="C3" s="52"/>
      <c r="D3" s="52"/>
      <c r="E3" s="52">
        <v>716601</v>
      </c>
      <c r="F3" s="52"/>
      <c r="G3" s="52"/>
      <c r="H3" s="52"/>
      <c r="I3" s="52"/>
      <c r="J3" s="52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</row>
    <row r="4" spans="1:34" ht="22" x14ac:dyDescent="0.3">
      <c r="A4" s="24" t="s">
        <v>77</v>
      </c>
      <c r="B4" s="32" t="s">
        <v>1</v>
      </c>
      <c r="C4" s="12">
        <f>SUMIF(Table3289[[Movement]:[Movement]],"Credit", Table3289[2024-05-01])-SUMIF(Table3289[[Movement]:[Movement]],"Debit", Table3289[2024-05-01])</f>
        <v>0</v>
      </c>
      <c r="D4" s="12">
        <f>SUMIF(Table3289[[Movement]:[Movement]],"Credit", Table3289[2024-06-01])-SUMIF(Table3289[[Movement]:[Movement]],"Debit", Table3289[2024-06-01])</f>
        <v>0</v>
      </c>
      <c r="E4" s="12">
        <f>SUMIF(Table3289[[Movement]:[Movement]],"Credit", Table3289[2024-07-01])-SUMIF(Table3289[[Movement]:[Movement]],"Debit", Table3289[2024-07-01])</f>
        <v>-708461</v>
      </c>
      <c r="F4" s="12">
        <f>SUMIF(Table3289[[Movement]:[Movement]],"Credit", Table3289[2024-08-01])-SUMIF(Table3289[[Movement]:[Movement]],"Debit", Table3289[2024-08-01])</f>
        <v>8140</v>
      </c>
      <c r="G4" s="12">
        <f>SUMIF(Table3289[[Movement]:[Movement]],"Credit", Table3289[2024-09-01])-SUMIF(Table3289[[Movement]:[Movement]],"Debit", Table3289[2024-09-01])</f>
        <v>8140</v>
      </c>
      <c r="H4" s="12">
        <f>SUMIF(Table3289[[Movement]:[Movement]],"Credit", Table3289[2024-10-01])-SUMIF(Table3289[[Movement]:[Movement]],"Debit", Table3289[2024-10-01])</f>
        <v>8140</v>
      </c>
      <c r="I4" s="12">
        <f>SUMIF(Table3289[[Movement]:[Movement]],"Credit", Table3289[2024-11-01])-SUMIF(Table3289[[Movement]:[Movement]],"Debit", Table3289[2024-11-01])</f>
        <v>8140</v>
      </c>
      <c r="J4" s="12">
        <f>SUMIF(Table3289[[Movement]:[Movement]],"Credit", Table3289[2024-12-01])-SUMIF(Table3289[[Movement]:[Movement]],"Debit", Table3289[2024-12-01])</f>
        <v>8140</v>
      </c>
      <c r="K4" s="12">
        <f>SUMIF(Table3289[[Movement]:[Movement]],"Credit", Table3289[2025-01-01])-SUMIF(Table3289[[Movement]:[Movement]],"Debit", Table3289[2025-01-01])</f>
        <v>8140</v>
      </c>
      <c r="L4" s="12">
        <f>SUMIF(Table3289[[Movement]:[Movement]],"Credit", Table3289[2025-02-01])-SUMIF(Table3289[[Movement]:[Movement]],"Debit", Table3289[2025-02-01])</f>
        <v>8140</v>
      </c>
      <c r="M4" s="12">
        <f>SUMIF(Table3289[[Movement]:[Movement]],"Credit", Table3289[2025-03-01])-SUMIF(Table3289[[Movement]:[Movement]],"Debit", Table3289[2025-03-01])</f>
        <v>8140</v>
      </c>
      <c r="N4" s="12">
        <f>SUMIF(Table3289[[Movement]:[Movement]],"Credit", Table3289[2025-04-01])-SUMIF(Table3289[[Movement]:[Movement]],"Debit", Table3289[2025-04-01])</f>
        <v>8140</v>
      </c>
      <c r="O4" s="12">
        <f>SUMIF(Table3289[[Movement]:[Movement]],"Credit", Table3289[2025-05-01])-SUMIF(Table3289[[Movement]:[Movement]],"Debit", Table3289[2025-05-01])</f>
        <v>8140</v>
      </c>
      <c r="P4" s="12">
        <f>SUMIF(Table3289[[Movement]:[Movement]],"Credit", Table3289[2025-06-01])-SUMIF(Table3289[[Movement]:[Movement]],"Debit", Table3289[2025-06-01])</f>
        <v>8140</v>
      </c>
      <c r="Q4" s="12">
        <f>SUMIF(Table3289[[Movement]:[Movement]],"Credit", Table3289[2025-07-01])-SUMIF(Table3289[[Movement]:[Movement]],"Debit", Table3289[2025-07-01])</f>
        <v>8140</v>
      </c>
      <c r="R4" s="12">
        <f>SUMIF(Table3289[[Movement]:[Movement]],"Credit", Table3289[2025-08-01])-SUMIF(Table3289[[Movement]:[Movement]],"Debit", Table3289[2025-08-01])</f>
        <v>8140</v>
      </c>
      <c r="S4" s="12">
        <f>SUMIF(Table3289[[Movement]:[Movement]],"Credit", Table3289[2025-09-01])-SUMIF(Table3289[[Movement]:[Movement]],"Debit", Table3289[2025-09-01])</f>
        <v>8140</v>
      </c>
      <c r="T4" s="12">
        <f>SUMIF(Table3289[[Movement]:[Movement]],"Credit", Table3289[2025-10-01])-SUMIF(Table3289[[Movement]:[Movement]],"Debit", Table3289[2025-10-01])</f>
        <v>8140</v>
      </c>
      <c r="U4" s="12">
        <f>SUMIF(Table3289[[Movement]:[Movement]],"Credit", Table3289[2025-11-01])-SUMIF(Table3289[[Movement]:[Movement]],"Debit", Table3289[2025-11-01])</f>
        <v>8140</v>
      </c>
      <c r="V4" s="12">
        <f>SUMIF(Table3289[[Movement]:[Movement]],"Credit", Table3289[2025-12-01])-SUMIF(Table3289[[Movement]:[Movement]],"Debit", Table3289[2025-12-01])</f>
        <v>8140</v>
      </c>
      <c r="W4" s="12">
        <f>SUMIF(Table3289[[Movement]:[Movement]],"Credit", Table3289[2026-01-01])-SUMIF(Table3289[[Movement]:[Movement]],"Debit", Table3289[2026-01-01])</f>
        <v>8140</v>
      </c>
      <c r="X4" s="12">
        <f>SUMIF(Table3289[[Movement]:[Movement]],"Credit", Table3289[2026-02-01])-SUMIF(Table3289[[Movement]:[Movement]],"Debit", Table3289[2026-02-01])</f>
        <v>8140</v>
      </c>
      <c r="Y4" s="12">
        <f>SUMIF(Table3289[[Movement]:[Movement]],"Credit", Table3289[2026-03-01])-SUMIF(Table3289[[Movement]:[Movement]],"Debit", Table3289[2026-03-01])</f>
        <v>8140</v>
      </c>
      <c r="Z4" s="12">
        <f>SUMIF(Table3289[[Movement]:[Movement]],"Credit", Table3289[2026-04-01])-SUMIF(Table3289[[Movement]:[Movement]],"Debit", Table3289[2026-04-01])</f>
        <v>8140</v>
      </c>
      <c r="AA4" s="12">
        <f>SUMIF(Table3289[[Movement]:[Movement]],"Credit", Table3289[2026-05-01])-SUMIF(Table3289[[Movement]:[Movement]],"Debit", Table3289[2026-05-01])</f>
        <v>8140</v>
      </c>
      <c r="AB4" s="12">
        <f>SUMIF(Table3289[[Movement]:[Movement]],"Credit", Table3289[2026-06-01])-SUMIF(Table3289[[Movement]:[Movement]],"Debit", Table3289[2026-06-01])</f>
        <v>8140</v>
      </c>
      <c r="AC4" s="12">
        <f>SUMIF(Table3289[[Movement]:[Movement]],"Credit", Table3289[2026-07-01])-SUMIF(Table3289[[Movement]:[Movement]],"Debit", Table3289[2026-07-01])</f>
        <v>8140</v>
      </c>
      <c r="AD4" s="12">
        <f>SUMIF(Table3289[[Movement]:[Movement]],"Credit", Table3289[2026-08-01])-SUMIF(Table3289[[Movement]:[Movement]],"Debit", Table3289[2026-08-01])</f>
        <v>8140</v>
      </c>
      <c r="AE4" s="12">
        <f>SUMIF(Table3289[[Movement]:[Movement]],"Credit", Table3289[2026-09-01])-SUMIF(Table3289[[Movement]:[Movement]],"Debit", Table3289[2026-09-01])</f>
        <v>8140</v>
      </c>
      <c r="AF4" s="12">
        <f>SUMIF(Table3289[[Movement]:[Movement]],"Credit", Table3289[2026-10-01])-SUMIF(Table3289[[Movement]:[Movement]],"Debit", Table3289[2026-10-01])</f>
        <v>8140</v>
      </c>
      <c r="AG4" s="12">
        <f>SUMIF(Table3289[[Movement]:[Movement]],"Credit", Table3289[2026-11-01])-SUMIF(Table3289[[Movement]:[Movement]],"Debit", Table3289[2026-11-01])</f>
        <v>8140</v>
      </c>
      <c r="AH4" s="12">
        <f>SUMIF(Table3289[[Movement]:[Movement]],"Credit", Table3289[2026-12-01])-SUMIF(Table3289[[Movement]:[Movement]],"Debit", Table3289[2026-12-01])</f>
        <v>8140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F070-2FBF-4D4F-8695-FA36A20F8B06}">
  <dimension ref="A1:AH9"/>
  <sheetViews>
    <sheetView showGridLines="0" workbookViewId="0">
      <selection activeCell="H4" sqref="H4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hidden="1" customWidth="1"/>
    <col min="5" max="7" width="17" hidden="1" customWidth="1"/>
    <col min="8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ht="22" x14ac:dyDescent="0.3">
      <c r="A2" s="15" t="s">
        <v>50</v>
      </c>
      <c r="B2" s="15" t="s">
        <v>36</v>
      </c>
      <c r="C2" s="7">
        <v>1000</v>
      </c>
      <c r="D2" s="7">
        <v>1000</v>
      </c>
      <c r="E2" s="7">
        <v>750</v>
      </c>
      <c r="F2" s="7">
        <v>250</v>
      </c>
      <c r="G2" s="7">
        <v>750</v>
      </c>
      <c r="H2" s="7">
        <v>1000</v>
      </c>
      <c r="I2" s="7">
        <v>750</v>
      </c>
      <c r="J2" s="7">
        <v>750</v>
      </c>
      <c r="K2" s="7">
        <v>1000</v>
      </c>
      <c r="L2" s="7">
        <v>1000</v>
      </c>
      <c r="M2" s="7">
        <v>1000</v>
      </c>
      <c r="N2" s="7">
        <v>1000</v>
      </c>
      <c r="O2" s="7">
        <v>1000</v>
      </c>
      <c r="P2" s="7">
        <v>1000</v>
      </c>
      <c r="Q2" s="7">
        <v>1000</v>
      </c>
      <c r="R2" s="7">
        <v>1000</v>
      </c>
      <c r="S2" s="7">
        <v>1000</v>
      </c>
      <c r="T2" s="7">
        <v>1000</v>
      </c>
      <c r="U2" s="7">
        <v>1000</v>
      </c>
      <c r="V2" s="7">
        <v>1000</v>
      </c>
      <c r="W2" s="7">
        <v>1000</v>
      </c>
      <c r="X2" s="7">
        <v>1000</v>
      </c>
      <c r="Y2" s="7">
        <v>1000</v>
      </c>
      <c r="Z2" s="7">
        <v>1000</v>
      </c>
      <c r="AA2" s="7">
        <v>1000</v>
      </c>
      <c r="AB2" s="7">
        <v>1000</v>
      </c>
      <c r="AC2" s="7">
        <v>1000</v>
      </c>
      <c r="AD2" s="7">
        <v>1000</v>
      </c>
      <c r="AE2" s="7">
        <v>1000</v>
      </c>
      <c r="AF2" s="7">
        <v>1000</v>
      </c>
      <c r="AG2" s="7"/>
      <c r="AH2" s="7"/>
    </row>
    <row r="3" spans="1:34" s="2" customFormat="1" ht="22" x14ac:dyDescent="0.3">
      <c r="A3" s="61" t="s">
        <v>50</v>
      </c>
      <c r="B3" s="15" t="s">
        <v>90</v>
      </c>
      <c r="C3" s="7"/>
      <c r="D3" s="7"/>
      <c r="E3" s="7"/>
      <c r="F3" s="7"/>
      <c r="G3" s="7"/>
      <c r="H3" s="7">
        <v>3495</v>
      </c>
      <c r="I3" s="7"/>
      <c r="J3" s="7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s="2" customFormat="1" ht="22" x14ac:dyDescent="0.3">
      <c r="A4" s="15" t="s">
        <v>50</v>
      </c>
      <c r="B4" s="15" t="s">
        <v>0</v>
      </c>
      <c r="C4" s="7">
        <v>1000</v>
      </c>
      <c r="D4" s="7">
        <v>1000</v>
      </c>
      <c r="E4" s="7"/>
      <c r="F4" s="7"/>
      <c r="G4" s="7">
        <v>500</v>
      </c>
      <c r="H4" s="7">
        <v>1000</v>
      </c>
      <c r="I4" s="7">
        <v>1000</v>
      </c>
      <c r="J4" s="7">
        <v>1000</v>
      </c>
      <c r="K4" s="7">
        <v>5000</v>
      </c>
      <c r="L4" s="7">
        <v>5000</v>
      </c>
      <c r="M4" s="7">
        <v>5000</v>
      </c>
      <c r="N4" s="7">
        <v>5000</v>
      </c>
      <c r="O4" s="7">
        <v>5000</v>
      </c>
      <c r="P4" s="7">
        <v>5000</v>
      </c>
      <c r="Q4" s="7">
        <v>6000</v>
      </c>
      <c r="R4" s="7">
        <v>6000</v>
      </c>
      <c r="S4" s="7">
        <v>6000</v>
      </c>
      <c r="T4" s="7">
        <v>6000</v>
      </c>
      <c r="U4" s="7">
        <v>6000</v>
      </c>
      <c r="V4" s="7">
        <v>6000</v>
      </c>
      <c r="W4" s="7">
        <v>6000</v>
      </c>
      <c r="X4" s="7">
        <v>6000</v>
      </c>
      <c r="Y4" s="7">
        <v>6000</v>
      </c>
      <c r="Z4" s="7">
        <v>6000</v>
      </c>
      <c r="AA4" s="7">
        <v>6000</v>
      </c>
      <c r="AB4" s="7">
        <v>6000</v>
      </c>
      <c r="AC4" s="7">
        <v>6000</v>
      </c>
      <c r="AD4" s="7">
        <v>6000</v>
      </c>
      <c r="AE4" s="7">
        <v>6000</v>
      </c>
      <c r="AF4" s="7">
        <v>6000</v>
      </c>
      <c r="AG4" s="7"/>
      <c r="AH4" s="7"/>
    </row>
    <row r="5" spans="1:34" s="3" customFormat="1" ht="22" x14ac:dyDescent="0.3">
      <c r="A5" s="51" t="s">
        <v>51</v>
      </c>
      <c r="B5" s="25" t="s">
        <v>34</v>
      </c>
      <c r="C5" s="52">
        <v>10800</v>
      </c>
      <c r="D5" s="52">
        <v>5400</v>
      </c>
      <c r="E5" s="52">
        <v>5400</v>
      </c>
      <c r="F5" s="52">
        <v>5400</v>
      </c>
      <c r="G5" s="52">
        <v>5400</v>
      </c>
      <c r="H5" s="52">
        <v>5400</v>
      </c>
      <c r="I5" s="52"/>
      <c r="J5" s="52"/>
      <c r="K5" s="53">
        <v>5500</v>
      </c>
      <c r="L5" s="53">
        <v>5500</v>
      </c>
      <c r="M5" s="53">
        <v>5500</v>
      </c>
      <c r="N5" s="53">
        <v>5500</v>
      </c>
      <c r="O5" s="53">
        <v>5500</v>
      </c>
      <c r="P5" s="53">
        <v>5500</v>
      </c>
      <c r="Q5" s="53">
        <v>5500</v>
      </c>
      <c r="R5" s="53">
        <v>5500</v>
      </c>
      <c r="S5" s="53">
        <v>5500</v>
      </c>
      <c r="T5" s="53">
        <v>5500</v>
      </c>
      <c r="U5" s="53"/>
      <c r="V5" s="53"/>
      <c r="W5" s="53">
        <v>5600</v>
      </c>
      <c r="X5" s="53">
        <v>5600</v>
      </c>
      <c r="Y5" s="53">
        <v>5600</v>
      </c>
      <c r="Z5" s="53">
        <v>5600</v>
      </c>
      <c r="AA5" s="53">
        <v>5600</v>
      </c>
      <c r="AB5" s="53">
        <v>5600</v>
      </c>
      <c r="AC5" s="53">
        <v>5600</v>
      </c>
      <c r="AD5" s="53">
        <v>5600</v>
      </c>
      <c r="AE5" s="53">
        <v>5600</v>
      </c>
      <c r="AF5" s="53">
        <v>5600</v>
      </c>
      <c r="AG5" s="53"/>
      <c r="AH5" s="53"/>
    </row>
    <row r="6" spans="1:34" s="3" customFormat="1" ht="22" x14ac:dyDescent="0.3">
      <c r="A6" s="51" t="s">
        <v>51</v>
      </c>
      <c r="B6" s="25" t="s">
        <v>26</v>
      </c>
      <c r="C6" s="52">
        <v>0</v>
      </c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</row>
    <row r="7" spans="1:34" s="3" customFormat="1" ht="22" x14ac:dyDescent="0.3">
      <c r="A7" s="51" t="s">
        <v>51</v>
      </c>
      <c r="B7" s="25" t="s">
        <v>33</v>
      </c>
      <c r="C7" s="52">
        <v>500</v>
      </c>
      <c r="D7" s="52"/>
      <c r="E7" s="52"/>
      <c r="F7" s="52"/>
      <c r="G7" s="52"/>
      <c r="H7" s="52"/>
      <c r="I7" s="52"/>
      <c r="J7" s="5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</row>
    <row r="8" spans="1:34" s="3" customFormat="1" ht="22" x14ac:dyDescent="0.3">
      <c r="A8" s="51" t="s">
        <v>51</v>
      </c>
      <c r="B8" s="25" t="s">
        <v>35</v>
      </c>
      <c r="C8" s="52"/>
      <c r="D8" s="52"/>
      <c r="E8" s="52"/>
      <c r="F8" s="52"/>
      <c r="G8" s="52"/>
      <c r="H8" s="52"/>
      <c r="I8" s="52"/>
      <c r="J8" s="52"/>
      <c r="K8" s="53">
        <v>22000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>
        <v>23000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</row>
    <row r="9" spans="1:34" ht="22" x14ac:dyDescent="0.3">
      <c r="A9" s="24" t="s">
        <v>77</v>
      </c>
      <c r="B9" s="32" t="s">
        <v>25</v>
      </c>
      <c r="C9" s="12">
        <f>SUMIF(Table328[[Movement]:[Movement]],"Credit", Table328[2024-05-01])-SUMIF(Table328[[Movement]:[Movement]],"Debit", Table328[2024-05-01])</f>
        <v>-9300</v>
      </c>
      <c r="D9" s="12">
        <f>SUMIF(Table328[[Movement]:[Movement]],"Credit", Table328[2024-06-01])-SUMIF(Table328[[Movement]:[Movement]],"Debit", Table328[2024-06-01])</f>
        <v>-3400</v>
      </c>
      <c r="E9" s="12">
        <f>SUMIF(Table328[[Movement]:[Movement]],"Credit", Table328[2024-07-01])-SUMIF(Table328[[Movement]:[Movement]],"Debit", Table328[2024-07-01])</f>
        <v>-4650</v>
      </c>
      <c r="F9" s="12">
        <f>SUMIF(Table328[[Movement]:[Movement]],"Credit", Table328[2024-08-01])-SUMIF(Table328[[Movement]:[Movement]],"Debit", Table328[2024-08-01])</f>
        <v>-5150</v>
      </c>
      <c r="G9" s="12">
        <f>SUMIF(Table328[[Movement]:[Movement]],"Credit", Table328[2024-09-01])-SUMIF(Table328[[Movement]:[Movement]],"Debit", Table328[2024-09-01])</f>
        <v>-4150</v>
      </c>
      <c r="H9" s="12">
        <f>SUMIF(Table328[[Movement]:[Movement]],"Credit", Table328[2024-10-01])-SUMIF(Table328[[Movement]:[Movement]],"Debit", Table328[2024-10-01])</f>
        <v>95</v>
      </c>
      <c r="I9" s="12">
        <f>SUMIF(Table328[[Movement]:[Movement]],"Credit", Table328[2024-11-01])-SUMIF(Table328[[Movement]:[Movement]],"Debit", Table328[2024-11-01])</f>
        <v>1750</v>
      </c>
      <c r="J9" s="12">
        <f>SUMIF(Table328[[Movement]:[Movement]],"Credit", Table328[2024-12-01])-SUMIF(Table328[[Movement]:[Movement]],"Debit", Table328[2024-12-01])</f>
        <v>1750</v>
      </c>
      <c r="K9" s="12">
        <f>SUMIF(Table328[[Movement]:[Movement]],"Credit", Table328[2025-01-01])-SUMIF(Table328[[Movement]:[Movement]],"Debit", Table328[2025-01-01])</f>
        <v>-21500</v>
      </c>
      <c r="L9" s="12">
        <f>SUMIF(Table328[[Movement]:[Movement]],"Credit", Table328[2025-02-01])-SUMIF(Table328[[Movement]:[Movement]],"Debit", Table328[2025-02-01])</f>
        <v>500</v>
      </c>
      <c r="M9" s="12">
        <f>SUMIF(Table328[[Movement]:[Movement]],"Credit", Table328[2025-03-01])-SUMIF(Table328[[Movement]:[Movement]],"Debit", Table328[2025-03-01])</f>
        <v>500</v>
      </c>
      <c r="N9" s="12">
        <f>SUMIF(Table328[[Movement]:[Movement]],"Credit", Table328[2025-04-01])-SUMIF(Table328[[Movement]:[Movement]],"Debit", Table328[2025-04-01])</f>
        <v>500</v>
      </c>
      <c r="O9" s="12">
        <f>SUMIF(Table328[[Movement]:[Movement]],"Credit", Table328[2025-05-01])-SUMIF(Table328[[Movement]:[Movement]],"Debit", Table328[2025-05-01])</f>
        <v>500</v>
      </c>
      <c r="P9" s="12">
        <f>SUMIF(Table328[[Movement]:[Movement]],"Credit", Table328[2025-06-01])-SUMIF(Table328[[Movement]:[Movement]],"Debit", Table328[2025-06-01])</f>
        <v>500</v>
      </c>
      <c r="Q9" s="12">
        <f>SUMIF(Table328[[Movement]:[Movement]],"Credit", Table328[2025-07-01])-SUMIF(Table328[[Movement]:[Movement]],"Debit", Table328[2025-07-01])</f>
        <v>1500</v>
      </c>
      <c r="R9" s="12">
        <f>SUMIF(Table328[[Movement]:[Movement]],"Credit", Table328[2025-08-01])-SUMIF(Table328[[Movement]:[Movement]],"Debit", Table328[2025-08-01])</f>
        <v>1500</v>
      </c>
      <c r="S9" s="12">
        <f>SUMIF(Table328[[Movement]:[Movement]],"Credit", Table328[2025-09-01])-SUMIF(Table328[[Movement]:[Movement]],"Debit", Table328[2025-09-01])</f>
        <v>1500</v>
      </c>
      <c r="T9" s="12">
        <f>SUMIF(Table328[[Movement]:[Movement]],"Credit", Table328[2025-10-01])-SUMIF(Table328[[Movement]:[Movement]],"Debit", Table328[2025-10-01])</f>
        <v>1500</v>
      </c>
      <c r="U9" s="12">
        <f>SUMIF(Table328[[Movement]:[Movement]],"Credit", Table328[2025-11-01])-SUMIF(Table328[[Movement]:[Movement]],"Debit", Table328[2025-11-01])</f>
        <v>7000</v>
      </c>
      <c r="V9" s="12">
        <f>SUMIF(Table328[[Movement]:[Movement]],"Credit", Table328[2025-12-01])-SUMIF(Table328[[Movement]:[Movement]],"Debit", Table328[2025-12-01])</f>
        <v>7000</v>
      </c>
      <c r="W9" s="12">
        <f>SUMIF(Table328[[Movement]:[Movement]],"Credit", Table328[2026-01-01])-SUMIF(Table328[[Movement]:[Movement]],"Debit", Table328[2026-01-01])</f>
        <v>-21600</v>
      </c>
      <c r="X9" s="12">
        <f>SUMIF(Table328[[Movement]:[Movement]],"Credit", Table328[2026-02-01])-SUMIF(Table328[[Movement]:[Movement]],"Debit", Table328[2026-02-01])</f>
        <v>1400</v>
      </c>
      <c r="Y9" s="12">
        <f>SUMIF(Table328[[Movement]:[Movement]],"Credit", Table328[2026-03-01])-SUMIF(Table328[[Movement]:[Movement]],"Debit", Table328[2026-03-01])</f>
        <v>1400</v>
      </c>
      <c r="Z9" s="12">
        <f>SUMIF(Table328[[Movement]:[Movement]],"Credit", Table328[2026-04-01])-SUMIF(Table328[[Movement]:[Movement]],"Debit", Table328[2026-04-01])</f>
        <v>1400</v>
      </c>
      <c r="AA9" s="12">
        <f>SUMIF(Table328[[Movement]:[Movement]],"Credit", Table328[2026-05-01])-SUMIF(Table328[[Movement]:[Movement]],"Debit", Table328[2026-05-01])</f>
        <v>1400</v>
      </c>
      <c r="AB9" s="12">
        <f>SUMIF(Table328[[Movement]:[Movement]],"Credit", Table328[2026-06-01])-SUMIF(Table328[[Movement]:[Movement]],"Debit", Table328[2026-06-01])</f>
        <v>1400</v>
      </c>
      <c r="AC9" s="12">
        <f>SUMIF(Table328[[Movement]:[Movement]],"Credit", Table328[2026-07-01])-SUMIF(Table328[[Movement]:[Movement]],"Debit", Table328[2026-07-01])</f>
        <v>1400</v>
      </c>
      <c r="AD9" s="12">
        <f>SUMIF(Table328[[Movement]:[Movement]],"Credit", Table328[2026-08-01])-SUMIF(Table328[[Movement]:[Movement]],"Debit", Table328[2026-08-01])</f>
        <v>1400</v>
      </c>
      <c r="AE9" s="12">
        <f>SUMIF(Table328[[Movement]:[Movement]],"Credit", Table328[2026-09-01])-SUMIF(Table328[[Movement]:[Movement]],"Debit", Table328[2026-09-01])</f>
        <v>1400</v>
      </c>
      <c r="AF9" s="12">
        <f>SUMIF(Table328[[Movement]:[Movement]],"Credit", Table328[2026-10-01])-SUMIF(Table328[[Movement]:[Movement]],"Debit", Table328[2026-10-01])</f>
        <v>1400</v>
      </c>
      <c r="AG9" s="12">
        <f>SUMIF(Table328[[Movement]:[Movement]],"Credit", Table328[2026-11-01])-SUMIF(Table328[[Movement]:[Movement]],"Debit", Table328[2026-11-01])</f>
        <v>0</v>
      </c>
      <c r="AH9" s="12">
        <f>SUMIF(Table328[[Movement]:[Movement]],"Credit", Table328[2026-12-01])-SUMIF(Table328[[Movement]:[Movement]],"Debit", Table328[2026-12-01])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0CB-B31C-F442-8DCF-E64A8A781A93}">
  <dimension ref="A1:J4"/>
  <sheetViews>
    <sheetView workbookViewId="0">
      <selection activeCell="C1" sqref="C1:D1048576"/>
    </sheetView>
  </sheetViews>
  <sheetFormatPr baseColWidth="10" defaultRowHeight="16" x14ac:dyDescent="0.2"/>
  <cols>
    <col min="1" max="1" width="12.1640625" customWidth="1"/>
    <col min="2" max="2" width="34.83203125" customWidth="1"/>
    <col min="3" max="4" width="18.5" hidden="1" customWidth="1"/>
    <col min="5" max="10" width="18.5" customWidth="1"/>
  </cols>
  <sheetData>
    <row r="1" spans="1:10" ht="17" thickBot="1" x14ac:dyDescent="0.25">
      <c r="A1" s="33" t="s">
        <v>23</v>
      </c>
      <c r="B1" s="34" t="s">
        <v>49</v>
      </c>
      <c r="C1" s="27" t="s">
        <v>38</v>
      </c>
      <c r="D1" s="27" t="s">
        <v>39</v>
      </c>
      <c r="E1" s="27" t="s">
        <v>41</v>
      </c>
      <c r="F1" s="27" t="s">
        <v>40</v>
      </c>
      <c r="G1" s="27" t="s">
        <v>42</v>
      </c>
      <c r="H1" s="27" t="s">
        <v>43</v>
      </c>
      <c r="I1" s="27" t="s">
        <v>44</v>
      </c>
      <c r="J1" s="27" t="s">
        <v>45</v>
      </c>
    </row>
    <row r="2" spans="1:10" ht="22" x14ac:dyDescent="0.3">
      <c r="A2" s="28" t="s">
        <v>50</v>
      </c>
      <c r="B2" s="28" t="s">
        <v>0</v>
      </c>
      <c r="C2" s="29">
        <v>200</v>
      </c>
      <c r="D2" s="29">
        <v>200</v>
      </c>
      <c r="E2" s="29">
        <v>200</v>
      </c>
      <c r="F2" s="29">
        <v>200</v>
      </c>
      <c r="G2" s="29">
        <v>200</v>
      </c>
      <c r="H2" s="29">
        <v>200</v>
      </c>
      <c r="I2" s="29">
        <v>200</v>
      </c>
      <c r="J2" s="29">
        <v>200</v>
      </c>
    </row>
    <row r="3" spans="1:10" ht="22" x14ac:dyDescent="0.3">
      <c r="A3" s="30" t="s">
        <v>51</v>
      </c>
      <c r="B3" s="30" t="s">
        <v>17</v>
      </c>
      <c r="C3" s="31">
        <v>0</v>
      </c>
      <c r="D3" s="31" t="s">
        <v>76</v>
      </c>
      <c r="E3" s="31" t="s">
        <v>76</v>
      </c>
      <c r="F3" s="31" t="s">
        <v>76</v>
      </c>
      <c r="G3" s="31" t="s">
        <v>76</v>
      </c>
      <c r="H3" s="31" t="s">
        <v>76</v>
      </c>
      <c r="I3" s="31" t="s">
        <v>76</v>
      </c>
      <c r="J3" s="31" t="s">
        <v>76</v>
      </c>
    </row>
    <row r="4" spans="1:10" s="49" customFormat="1" ht="22" x14ac:dyDescent="0.3">
      <c r="A4" s="48" t="s">
        <v>77</v>
      </c>
      <c r="B4" s="48" t="s">
        <v>46</v>
      </c>
      <c r="C4" s="50">
        <f>SUMIF(Table5[[Movement]:[Movement]],"Credit", Table5[2024-05-01])-SUMIF(Table5[[Movement]:[Movement]],"Debit", Table5[2024-05-01])</f>
        <v>200</v>
      </c>
      <c r="D4" s="50">
        <f>SUMIF(Table5[[Movement]:[Movement]],"Credit", Table5[2024-06-01])-SUMIF(Table5[[Movement]:[Movement]],"Debit", Table5[2024-06-01])</f>
        <v>200</v>
      </c>
      <c r="E4" s="50">
        <f>SUMIF(Table5[[Movement]:[Movement]],"Credit", Table5[2024-07-01])-SUMIF(Table5[[Movement]:[Movement]],"Debit", Table5[2024-07-01])</f>
        <v>200</v>
      </c>
      <c r="F4" s="50">
        <f>SUMIF(Table5[[Movement]:[Movement]],"Credit", Table5[2024-08-01])-SUMIF(Table5[[Movement]:[Movement]],"Debit", Table5[2024-08-01])</f>
        <v>200</v>
      </c>
      <c r="G4" s="50">
        <f>SUMIF(Table5[[Movement]:[Movement]],"Credit", Table5[2024-09-01])-SUMIF(Table5[[Movement]:[Movement]],"Debit", Table5[2024-09-01])</f>
        <v>200</v>
      </c>
      <c r="H4" s="50">
        <f>SUMIF(Table5[[Movement]:[Movement]],"Credit", Table5[2024-10-01])-SUMIF(Table5[[Movement]:[Movement]],"Debit", Table5[2024-10-01])</f>
        <v>200</v>
      </c>
      <c r="I4" s="50">
        <f>SUMIF(Table5[[Movement]:[Movement]],"Credit", Table5[2024-11-01])-SUMIF(Table5[[Movement]:[Movement]],"Debit", Table5[2024-11-01])</f>
        <v>200</v>
      </c>
      <c r="J4" s="50">
        <f>SUMIF(Table5[[Movement]:[Movement]],"Credit", Table5[2024-12-01])-SUMIF(Table5[[Movement]:[Movement]],"Debit", Table5[2024-12-01])</f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D6BF-4E21-7D49-A0F6-A907D4FEB74D}">
  <dimension ref="A1:J9"/>
  <sheetViews>
    <sheetView showGridLines="0" workbookViewId="0">
      <selection activeCell="C1" sqref="C1:D1048576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bestFit="1" customWidth="1"/>
  </cols>
  <sheetData>
    <row r="1" spans="1:10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22" t="s">
        <v>50</v>
      </c>
      <c r="B2" s="15" t="s">
        <v>0</v>
      </c>
      <c r="C2" s="7"/>
      <c r="D2" s="7">
        <v>500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</row>
    <row r="3" spans="1:10" s="19" customFormat="1" ht="22" x14ac:dyDescent="0.3">
      <c r="A3" s="16" t="s">
        <v>51</v>
      </c>
      <c r="B3" s="17" t="s">
        <v>28</v>
      </c>
      <c r="C3" s="18"/>
      <c r="D3" s="18">
        <v>1000</v>
      </c>
      <c r="E3" s="18">
        <v>1000</v>
      </c>
      <c r="F3" s="18"/>
      <c r="G3" s="18"/>
      <c r="H3" s="18"/>
      <c r="I3" s="18"/>
      <c r="J3" s="18"/>
    </row>
    <row r="4" spans="1:10" s="19" customFormat="1" ht="22" x14ac:dyDescent="0.3">
      <c r="A4" s="16" t="s">
        <v>51</v>
      </c>
      <c r="B4" s="17" t="s">
        <v>29</v>
      </c>
      <c r="C4" s="18"/>
      <c r="D4" s="18"/>
      <c r="E4" s="18">
        <v>4000</v>
      </c>
      <c r="F4" s="18"/>
      <c r="G4" s="18"/>
      <c r="H4" s="18"/>
      <c r="I4" s="18"/>
      <c r="J4" s="18"/>
    </row>
    <row r="5" spans="1:10" s="19" customFormat="1" ht="22" x14ac:dyDescent="0.3">
      <c r="A5" s="16" t="s">
        <v>51</v>
      </c>
      <c r="B5" s="17" t="s">
        <v>31</v>
      </c>
      <c r="C5" s="18"/>
      <c r="D5" s="18"/>
      <c r="E5" s="18"/>
      <c r="F5" s="18"/>
      <c r="G5" s="18">
        <v>500</v>
      </c>
      <c r="H5" s="18"/>
      <c r="I5" s="18"/>
      <c r="J5" s="18"/>
    </row>
    <row r="6" spans="1:10" s="19" customFormat="1" ht="22" x14ac:dyDescent="0.3">
      <c r="A6" s="16" t="s">
        <v>51</v>
      </c>
      <c r="B6" s="17" t="s">
        <v>27</v>
      </c>
      <c r="C6" s="18"/>
      <c r="D6" s="18"/>
      <c r="E6" s="18"/>
      <c r="F6" s="18"/>
      <c r="G6" s="18"/>
      <c r="H6" s="18">
        <v>5000</v>
      </c>
      <c r="I6" s="18"/>
      <c r="J6" s="18"/>
    </row>
    <row r="7" spans="1:10" s="19" customFormat="1" ht="22" x14ac:dyDescent="0.3">
      <c r="A7" s="16" t="s">
        <v>51</v>
      </c>
      <c r="B7" s="17" t="s">
        <v>20</v>
      </c>
      <c r="C7" s="18"/>
      <c r="D7" s="18"/>
      <c r="E7" s="18">
        <v>3000</v>
      </c>
      <c r="F7" s="18"/>
      <c r="G7" s="18"/>
      <c r="H7" s="18"/>
      <c r="I7" s="18"/>
      <c r="J7" s="18"/>
    </row>
    <row r="8" spans="1:10" s="4" customFormat="1" ht="22" x14ac:dyDescent="0.3">
      <c r="A8" s="16" t="s">
        <v>51</v>
      </c>
      <c r="B8" s="16" t="s">
        <v>32</v>
      </c>
      <c r="C8" s="9"/>
      <c r="D8" s="9"/>
      <c r="E8" s="9"/>
      <c r="F8" s="9">
        <v>500</v>
      </c>
      <c r="G8" s="9"/>
      <c r="H8" s="9"/>
      <c r="I8" s="9"/>
      <c r="J8" s="9"/>
    </row>
    <row r="9" spans="1:10" ht="22" x14ac:dyDescent="0.3">
      <c r="A9" s="32" t="s">
        <v>77</v>
      </c>
      <c r="B9" s="32" t="s">
        <v>30</v>
      </c>
      <c r="C9" s="35">
        <f>SUMIF(Table32810[[Movement]:[Movement]],"Credit", Table32810[2024-05-01])-SUMIF(Table32810[[Movement]:[Movement]],"Debit", Table32810[2024-05-01])</f>
        <v>0</v>
      </c>
      <c r="D9" s="35">
        <f>SUMIF(Table32810[[Movement]:[Movement]],"Credit", Table32810[2024-06-01])-SUMIF(Table32810[[Movement]:[Movement]],"Debit", Table32810[2024-06-01])</f>
        <v>-500</v>
      </c>
      <c r="E9" s="35">
        <f>SUMIF(Table32810[[Movement]:[Movement]],"Credit", Table32810[2024-07-01])-SUMIF(Table32810[[Movement]:[Movement]],"Debit", Table32810[2024-07-01])</f>
        <v>-8000</v>
      </c>
      <c r="F9" s="35">
        <f>SUMIF(Table32810[[Movement]:[Movement]],"Credit", Table32810[2024-08-01])-SUMIF(Table32810[[Movement]:[Movement]],"Debit", Table32810[2024-08-01])</f>
        <v>-500</v>
      </c>
      <c r="G9" s="35">
        <f>SUMIF(Table32810[[Movement]:[Movement]],"Credit", Table32810[2024-09-01])-SUMIF(Table32810[[Movement]:[Movement]],"Debit", Table32810[2024-09-01])</f>
        <v>-500</v>
      </c>
      <c r="H9" s="35">
        <f>SUMIF(Table32810[[Movement]:[Movement]],"Credit", Table32810[2024-10-01])-SUMIF(Table32810[[Movement]:[Movement]],"Debit", Table32810[2024-10-01])</f>
        <v>-5000</v>
      </c>
      <c r="I9" s="35">
        <f>SUMIF(Table32810[[Movement]:[Movement]],"Credit", Table32810[2024-11-01])-SUMIF(Table32810[[Movement]:[Movement]],"Debit", Table32810[2024-11-01])</f>
        <v>0</v>
      </c>
      <c r="J9" s="35">
        <f>SUMIF(Table32810[[Movement]:[Movement]],"Credit", Table32810[2024-12-01])-SUMIF(Table32810[[Movement]:[Movement]],"Debit", Table32810[2024-12-01])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Jeanre Transactional</vt:lpstr>
      <vt:lpstr>Dec 2025 calcs</vt:lpstr>
      <vt:lpstr>Bernice Transactional</vt:lpstr>
      <vt:lpstr>Jeanre Credit Card</vt:lpstr>
      <vt:lpstr>Bernice Credit Card</vt:lpstr>
      <vt:lpstr>Home Loan</vt:lpstr>
      <vt:lpstr>Jodine U</vt:lpstr>
      <vt:lpstr>Emergency</vt:lpstr>
      <vt:lpstr>Personal Wealth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2024-12-30T12:03:04Z</dcterms:modified>
</cp:coreProperties>
</file>