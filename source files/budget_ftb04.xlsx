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 Repos/ftrack/source files/"/>
    </mc:Choice>
  </mc:AlternateContent>
  <xr:revisionPtr revIDLastSave="0" documentId="13_ncr:1_{2276F187-5F8B-6D4E-B389-76AE62BD106E}" xr6:coauthVersionLast="47" xr6:coauthVersionMax="47" xr10:uidLastSave="{00000000-0000-0000-0000-000000000000}"/>
  <bookViews>
    <workbookView xWindow="-107200" yWindow="-1100" windowWidth="38400" windowHeight="23500" xr2:uid="{F25DD163-696E-F842-A897-5E899A2812A7}"/>
  </bookViews>
  <sheets>
    <sheet name="Jeanre Transactional" sheetId="11" r:id="rId1"/>
    <sheet name="Jodine Transactional" sheetId="24" r:id="rId2"/>
    <sheet name="Bernice Transactional" sheetId="20" r:id="rId3"/>
    <sheet name="Jeanre Credit Card" sheetId="19" r:id="rId4"/>
    <sheet name="Jodine U" sheetId="12" r:id="rId5"/>
    <sheet name="Emergency" sheetId="22" r:id="rId6"/>
    <sheet name="Personal Wealth" sheetId="14" r:id="rId7"/>
    <sheet name="Bernice Credit Card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4" l="1"/>
  <c r="I8" i="24"/>
  <c r="H8" i="24"/>
  <c r="G8" i="24"/>
  <c r="F8" i="24"/>
  <c r="E8" i="24"/>
  <c r="D8" i="24"/>
  <c r="C8" i="24"/>
  <c r="D4" i="21"/>
  <c r="E4" i="21"/>
  <c r="F4" i="21"/>
  <c r="G4" i="21"/>
  <c r="H4" i="21"/>
  <c r="I4" i="21"/>
  <c r="J4" i="21"/>
  <c r="C4" i="21"/>
  <c r="D10" i="20"/>
  <c r="E10" i="20"/>
  <c r="F10" i="20"/>
  <c r="G10" i="20"/>
  <c r="H10" i="20"/>
  <c r="I10" i="20"/>
  <c r="J10" i="20"/>
  <c r="C10" i="20"/>
  <c r="D9" i="14"/>
  <c r="E9" i="14"/>
  <c r="F9" i="14"/>
  <c r="G9" i="14"/>
  <c r="H9" i="14"/>
  <c r="I9" i="14"/>
  <c r="J9" i="14"/>
  <c r="C9" i="14"/>
  <c r="C4" i="22"/>
  <c r="D4" i="22"/>
  <c r="E4" i="22"/>
  <c r="F4" i="22"/>
  <c r="G4" i="22"/>
  <c r="H4" i="22"/>
  <c r="I4" i="22"/>
  <c r="J4" i="2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C8" i="12"/>
  <c r="E5" i="19"/>
  <c r="F5" i="19"/>
  <c r="G5" i="19"/>
  <c r="H5" i="19"/>
  <c r="I5" i="19"/>
  <c r="J5" i="19"/>
  <c r="D5" i="19"/>
  <c r="C5" i="19"/>
  <c r="C27" i="11"/>
  <c r="J27" i="11"/>
  <c r="I27" i="11"/>
  <c r="H27" i="11"/>
  <c r="G27" i="11"/>
  <c r="F27" i="11"/>
  <c r="E27" i="11"/>
  <c r="D27" i="11"/>
</calcChain>
</file>

<file path=xl/sharedStrings.xml><?xml version="1.0" encoding="utf-8"?>
<sst xmlns="http://schemas.openxmlformats.org/spreadsheetml/2006/main" count="245" uniqueCount="86">
  <si>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</si>
  <si>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</si>
  <si>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</si>
  <si>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</si>
  <si>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</si>
  <si>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</si>
  <si>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</si>
  <si>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</si>
  <si>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</si>
  <si>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Bernice Credit Card</t>
  </si>
  <si>
    <t>Jeanre Credit Card</t>
  </si>
  <si>
    <t>Netflix</t>
  </si>
  <si>
    <t>Apple One</t>
  </si>
  <si>
    <t>Municipal Account</t>
  </si>
  <si>
    <t>Fuel</t>
  </si>
  <si>
    <t>Jansie</t>
  </si>
  <si>
    <t>Bernice Savings</t>
  </si>
  <si>
    <t>Bernice Transactional</t>
  </si>
  <si>
    <t>Other</t>
  </si>
  <si>
    <t>Bernice Retirement</t>
  </si>
  <si>
    <t>Jeanre Retirement</t>
  </si>
  <si>
    <t>Clothing</t>
  </si>
  <si>
    <t>Netstar</t>
  </si>
  <si>
    <t>Geely Insurance</t>
  </si>
  <si>
    <t>Movement</t>
  </si>
  <si>
    <t>Home and Vehicle Savings</t>
  </si>
  <si>
    <t>Jodine U</t>
  </si>
  <si>
    <t>Stationary</t>
  </si>
  <si>
    <t>Bernice Eyes</t>
  </si>
  <si>
    <t>Daniel Bachelors</t>
  </si>
  <si>
    <t>Suzuki Maintenance</t>
  </si>
  <si>
    <t>Personal Wealth</t>
  </si>
  <si>
    <t>Daniel Wedding</t>
  </si>
  <si>
    <t>Ian Wedding</t>
  </si>
  <si>
    <t>Jodine Deneysville visit</t>
  </si>
  <si>
    <t>CTU</t>
  </si>
  <si>
    <t>CTU Deposit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</si>
  <si>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</si>
  <si>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</si>
  <si>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</si>
  <si>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</si>
  <si>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</si>
  <si>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</si>
  <si>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</si>
  <si>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</si>
  <si>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</si>
  <si>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</si>
  <si>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</si>
  <si>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</si>
  <si>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</si>
  <si>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</si>
  <si>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</si>
  <si>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</si>
  <si>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</si>
  <si>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</si>
  <si>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</si>
  <si>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</si>
  <si>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</si>
  <si>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</si>
  <si>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</si>
  <si>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</si>
  <si>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</si>
  <si>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</si>
  <si>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</si>
  <si>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</si>
  <si>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</si>
  <si>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</si>
  <si>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</si>
  <si>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</si>
  <si>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</si>
  <si>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</si>
  <si>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</si>
  <si>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</si>
  <si>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</si>
  <si>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</si>
  <si>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</si>
  <si>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2026-05-01</t>
  </si>
  <si>
    <t xml:space="preserve"> R                    -  </t>
  </si>
  <si>
    <t>Subtotal</t>
  </si>
  <si>
    <t>Bicycle Claims</t>
  </si>
  <si>
    <t>Running Costs</t>
  </si>
  <si>
    <t>Tips</t>
  </si>
  <si>
    <t>Jodine Personal Savings</t>
  </si>
  <si>
    <t>Vehicle Savings</t>
  </si>
  <si>
    <t>Medical</t>
  </si>
  <si>
    <t>Vehicle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</si>
</sst>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000000"/>
      <name val="Aptos Narrow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4EA72E"/>
      <name val="Aptos Narrow"/>
      <family val="2"/>
      <scheme val="minor"/>
    </font>
    <font>
      <b/>
      <sz val="16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5" tint="0.7999816888943144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1" fillId="0" borderId="2" xfId="0" applyFont="1" applyBorder="1"/>
    <xf numFmtId="0" fontId="1" fillId="0" borderId="3" xfId="0" applyFont="1" applyBorder="1"/>
    <xf numFmtId="0" fontId="0" fillId="3" borderId="0" xfId="0" quotePrefix="1" applyFill="1"/>
    <xf numFmtId="44" fontId="6" fillId="2" borderId="0" xfId="0" applyNumberFormat="1" applyFont="1" applyFill="1"/>
    <xf numFmtId="0" fontId="7" fillId="4" borderId="0" xfId="0" applyFont="1" applyFill="1"/>
    <xf numFmtId="44" fontId="8" fillId="4" borderId="0" xfId="0" applyNumberFormat="1" applyFont="1" applyFill="1"/>
    <xf numFmtId="0" fontId="7" fillId="5" borderId="0" xfId="0" applyFont="1" applyFill="1"/>
    <xf numFmtId="44" fontId="8" fillId="5" borderId="0" xfId="0" applyNumberFormat="1" applyFont="1" applyFill="1"/>
    <xf numFmtId="44" fontId="6" fillId="6" borderId="0" xfId="0" applyNumberFormat="1" applyFont="1" applyFill="1"/>
    <xf numFmtId="0" fontId="5" fillId="7" borderId="0" xfId="0" applyFont="1" applyFill="1"/>
    <xf numFmtId="0" fontId="1" fillId="0" borderId="1" xfId="0" applyFont="1" applyBorder="1"/>
    <xf numFmtId="0" fontId="9" fillId="2" borderId="0" xfId="0" applyFont="1" applyFill="1"/>
    <xf numFmtId="0" fontId="10" fillId="4" borderId="0" xfId="0" applyFont="1" applyFill="1"/>
    <xf numFmtId="0" fontId="9" fillId="4" borderId="0" xfId="0" applyFont="1" applyFill="1"/>
    <xf numFmtId="44" fontId="6" fillId="4" borderId="0" xfId="0" applyNumberFormat="1" applyFont="1" applyFill="1"/>
    <xf numFmtId="0" fontId="0" fillId="4" borderId="0" xfId="0" applyFill="1"/>
    <xf numFmtId="49" fontId="1" fillId="0" borderId="1" xfId="0" applyNumberFormat="1" applyFont="1" applyBorder="1"/>
    <xf numFmtId="0" fontId="9" fillId="9" borderId="0" xfId="0" applyFont="1" applyFill="1"/>
    <xf numFmtId="44" fontId="6" fillId="9" borderId="0" xfId="0" applyNumberFormat="1" applyFont="1" applyFill="1"/>
    <xf numFmtId="44" fontId="11" fillId="10" borderId="0" xfId="0" applyNumberFormat="1" applyFont="1" applyFill="1"/>
    <xf numFmtId="0" fontId="0" fillId="9" borderId="0" xfId="0" applyFill="1"/>
    <xf numFmtId="44" fontId="11" fillId="11" borderId="0" xfId="0" applyNumberFormat="1" applyFont="1" applyFill="1"/>
    <xf numFmtId="44" fontId="12" fillId="2" borderId="0" xfId="0" applyNumberFormat="1" applyFont="1" applyFill="1"/>
    <xf numFmtId="0" fontId="9" fillId="2" borderId="4" xfId="0" applyFont="1" applyFill="1" applyBorder="1"/>
    <xf numFmtId="0" fontId="10" fillId="5" borderId="0" xfId="0" applyFont="1" applyFill="1"/>
    <xf numFmtId="44" fontId="8" fillId="2" borderId="0" xfId="0" applyNumberFormat="1" applyFont="1" applyFill="1"/>
    <xf numFmtId="0" fontId="9" fillId="7" borderId="0" xfId="0" applyFont="1" applyFill="1"/>
    <xf numFmtId="0" fontId="9" fillId="3" borderId="0" xfId="0" applyFont="1" applyFill="1"/>
    <xf numFmtId="49" fontId="14" fillId="0" borderId="6" xfId="0" applyNumberFormat="1" applyFont="1" applyBorder="1"/>
    <xf numFmtId="49" fontId="14" fillId="0" borderId="1" xfId="0" applyNumberFormat="1" applyFont="1" applyBorder="1"/>
    <xf numFmtId="0" fontId="9" fillId="8" borderId="0" xfId="0" applyFont="1" applyFill="1"/>
    <xf numFmtId="0" fontId="15" fillId="12" borderId="4" xfId="0" applyFont="1" applyFill="1" applyBorder="1"/>
    <xf numFmtId="44" fontId="16" fillId="12" borderId="0" xfId="0" applyNumberFormat="1" applyFont="1" applyFill="1"/>
    <xf numFmtId="0" fontId="15" fillId="13" borderId="0" xfId="0" applyFont="1" applyFill="1"/>
    <xf numFmtId="44" fontId="17" fillId="13" borderId="0" xfId="0" applyNumberFormat="1" applyFont="1" applyFill="1"/>
    <xf numFmtId="0" fontId="9" fillId="6" borderId="0" xfId="0" applyFont="1" applyFill="1"/>
    <xf numFmtId="0" fontId="14" fillId="0" borderId="7" xfId="0" applyFont="1" applyBorder="1"/>
    <xf numFmtId="0" fontId="14" fillId="0" borderId="1" xfId="0" applyFont="1" applyBorder="1"/>
    <xf numFmtId="44" fontId="6" fillId="6" borderId="2" xfId="0" applyNumberFormat="1" applyFont="1" applyFill="1" applyBorder="1"/>
    <xf numFmtId="0" fontId="10" fillId="14" borderId="0" xfId="0" applyFont="1" applyFill="1"/>
    <xf numFmtId="44" fontId="8" fillId="14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44" fontId="8" fillId="3" borderId="0" xfId="0" applyNumberFormat="1" applyFont="1" applyFill="1"/>
    <xf numFmtId="0" fontId="7" fillId="14" borderId="0" xfId="0" applyFont="1" applyFill="1"/>
    <xf numFmtId="0" fontId="10" fillId="3" borderId="0" xfId="0" applyFont="1" applyFill="1"/>
    <xf numFmtId="0" fontId="7" fillId="2" borderId="0" xfId="0" applyFont="1" applyFill="1"/>
    <xf numFmtId="0" fontId="7" fillId="2" borderId="4" xfId="0" applyFont="1" applyFill="1" applyBorder="1"/>
    <xf numFmtId="0" fontId="7" fillId="6" borderId="8" xfId="0" applyFont="1" applyFill="1" applyBorder="1"/>
    <xf numFmtId="44" fontId="8" fillId="6" borderId="8" xfId="0" applyNumberFormat="1" applyFont="1" applyFill="1" applyBorder="1"/>
    <xf numFmtId="0" fontId="0" fillId="0" borderId="8" xfId="0" applyBorder="1"/>
    <xf numFmtId="0" fontId="9" fillId="15" borderId="0" xfId="0" applyFont="1" applyFill="1"/>
    <xf numFmtId="0" fontId="0" fillId="15" borderId="0" xfId="0" applyFill="1"/>
    <xf numFmtId="44" fontId="13" fillId="15" borderId="5" xfId="0" applyNumberFormat="1" applyFont="1" applyFill="1" applyBorder="1"/>
    <xf numFmtId="0" fontId="9" fillId="2" borderId="0" xfId="0" applyFont="1" applyFill="1" applyBorder="1"/>
  </cellXfs>
  <cellStyles count="1">
    <cellStyle name="Normal" xfId="0" builtinId="0"/>
  </cellStyles>
  <dxfs count="17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63981-326C-D143-B66A-6C003C4E74A8}" name="Table32" displayName="Table32" ref="A1:J27" totalsRowCount="1" headerRowDxfId="173" dataDxfId="76">
  <autoFilter ref="A1:J26" xr:uid="{92565AF6-51CB-F740-ACD0-AD376C5F8FE0}"/>
  <tableColumns count="10">
    <tableColumn id="5" xr3:uid="{8651B483-0F4C-9745-8034-DD83AE8DA141}" name="Movement" totalsRowLabel="Subtotal" dataDxfId="86" totalsRowDxfId="9"/>
    <tableColumn id="6" xr3:uid="{2F7AE88F-4B40-4240-BF3E-94BC56EB2208}" name="Account Secondary" totalsRowLabel="Jeanre Transactional" dataDxfId="85" totalsRowDxfId="8"/>
    <tableColumn id="7" xr3:uid="{ADA98953-117B-F145-A74B-A985F167B6BC}" name="2024-05-01" totalsRowFunction="custom" dataDxfId="84" totalsRowDxfId="7">
      <totalsRowFormula>SUMIF(Table32[[#Data],[#Totals],[Movement]],"Credit", Table32[[#Data],[#Totals],[2024-05-01]])-SUMIF(Table32[[#Data],[#Totals],[Movement]],"Debit", Table32[[#Data],[#Totals],[2024-05-01]])</totalsRowFormula>
    </tableColumn>
    <tableColumn id="8" xr3:uid="{D1B507DF-9E64-6B42-ADC6-664BF896B5B8}" name="2024-06-01" totalsRowFunction="custom" dataDxfId="83" totalsRowDxfId="6">
      <totalsRowFormula>SUMIF(Table32[[#Data],[#Totals],[Movement]],"Credit", Table32[[#Data],[#Totals],[2024-06-01]])-SUMIF(Table32[[#Data],[#Totals],[Movement]],"Debit", Table32[[#Data],[#Totals],[2024-06-01]])</totalsRowFormula>
    </tableColumn>
    <tableColumn id="9" xr3:uid="{C4FB259E-8339-874F-86A0-1B451C317784}" name="2024-07-01" totalsRowFunction="custom" dataDxfId="82" totalsRowDxfId="5">
      <totalsRowFormula>SUMIF(Table32[[#Data],[#Totals],[Movement]],"Credit", Table32[[#Data],[#Totals],[2024-07-01]])-SUMIF(Table32[[#Data],[#Totals],[Movement]],"Debit", Table32[[#Data],[#Totals],[2024-07-01]])</totalsRowFormula>
    </tableColumn>
    <tableColumn id="10" xr3:uid="{7CAB3A22-E21F-C14F-81D6-E08D7B5AAF27}" name="2024-08-01" totalsRowFunction="custom" dataDxfId="81" totalsRowDxfId="4">
      <totalsRowFormula>SUMIF(Table32[[#Data],[#Totals],[Movement]],"Credit", Table32[[#Data],[#Totals],[2024-08-01]])-SUMIF(Table32[[#Data],[#Totals],[Movement]],"Debit", Table32[[#Data],[#Totals],[2024-08-01]])</totalsRowFormula>
    </tableColumn>
    <tableColumn id="11" xr3:uid="{A858D8D8-0330-2A48-9F9F-65775EFA0FA2}" name="2024-09-01" totalsRowFunction="custom" dataDxfId="80" totalsRowDxfId="3">
      <totalsRowFormula>SUMIF(Table32[[#Data],[#Totals],[Movement]],"Credit", Table32[[#Data],[#Totals],[2024-09-01]])-SUMIF(Table32[[#Data],[#Totals],[Movement]],"Debit", Table32[[#Data],[#Totals],[2024-09-01]])</totalsRowFormula>
    </tableColumn>
    <tableColumn id="12" xr3:uid="{272E93CF-FAFA-2340-9C46-83694C73D7CE}" name="2024-10-01" totalsRowFunction="custom" dataDxfId="79" totalsRowDxfId="2">
      <totalsRowFormula>SUMIF(Table32[[#Data],[#Totals],[Movement]],"Credit", Table32[[#Data],[#Totals],[2024-10-01]])-SUMIF(Table32[[#Data],[#Totals],[Movement]],"Debit", Table32[[#Data],[#Totals],[2024-10-01]])</totalsRowFormula>
    </tableColumn>
    <tableColumn id="13" xr3:uid="{7E46E0A7-4F44-7B4D-A98B-07E6BFFF5704}" name="2024-11-01" totalsRowFunction="custom" dataDxfId="78" totalsRowDxfId="1">
      <totalsRowFormula>SUMIF(Table32[[#Data],[#Totals],[Movement]],"Credit", Table32[[#Data],[#Totals],[2024-11-01]])-SUMIF(Table32[[#Data],[#Totals],[Movement]],"Debit", Table32[[#Data],[#Totals],[2024-11-01]])</totalsRowFormula>
    </tableColumn>
    <tableColumn id="14" xr3:uid="{3415A647-D2D3-BE4C-A006-2DADF61AE0D7}" name="2024-12-01" totalsRowFunction="custom" dataDxfId="77" totalsRowDxfId="0">
      <totalsRowFormula>SUMIF(Table32[[#Data],[#Totals],[Movement]],"Credit", Table32[[#Data],[#Totals],[2024-12-01]])-SUMIF(Table32[[#Data],[#Totals],[Movement]],"Debit", Table32[[#Data],[#Totals],[2024-12-01]])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6FC7B9-BD4A-294C-BAE6-F476073EB80A}" name="Table327" displayName="Table327" ref="A1:J8" totalsRowCount="1" headerRowDxfId="87" dataDxfId="65">
  <autoFilter ref="A1:J7" xr:uid="{92565AF6-51CB-F740-ACD0-AD376C5F8FE0}"/>
  <tableColumns count="10">
    <tableColumn id="5" xr3:uid="{6E69B458-4FF6-AA41-95BC-EDC678BC0093}" name="Movement" totalsRowLabel="Subtotal" dataDxfId="75" totalsRowDxfId="53"/>
    <tableColumn id="6" xr3:uid="{D47E3C5D-B818-7F4B-BFEC-DDA7481F4587}" name="Account Secondary" totalsRowLabel="Jeanre Transactional" dataDxfId="74" totalsRowDxfId="52"/>
    <tableColumn id="7" xr3:uid="{A673DCA8-3181-2B48-A287-B7DC290508A8}" name="2024-05-01" totalsRowFunction="custom" dataDxfId="73" totalsRowDxfId="51">
      <totalsRowFormula>SUMIF(Table327[[#Data],[#Totals],[Movement]],"Credit", Table327[[#Data],[#Totals],[2024-05-01]])-SUMIF(Table327[[#Data],[#Totals],[Movement]],"Debit", Table327[[#Data],[#Totals],[2024-05-01]])</totalsRowFormula>
    </tableColumn>
    <tableColumn id="8" xr3:uid="{B6E7D547-5D0E-6D41-8F04-8C1F455CCAC3}" name="2024-06-01" totalsRowFunction="custom" dataDxfId="72" totalsRowDxfId="50">
      <totalsRowFormula>SUMIF(Table327[[#Data],[#Totals],[Movement]],"Credit", Table327[[#Data],[#Totals],[2024-06-01]])-SUMIF(Table327[[#Data],[#Totals],[Movement]],"Debit", Table327[[#Data],[#Totals],[2024-06-01]])</totalsRowFormula>
    </tableColumn>
    <tableColumn id="9" xr3:uid="{EED6F578-2107-254B-B19B-3613DFC61464}" name="2024-07-01" totalsRowFunction="custom" dataDxfId="71" totalsRowDxfId="49">
      <totalsRowFormula>SUMIF(Table327[[#Data],[#Totals],[Movement]],"Credit", Table327[[#Data],[#Totals],[2024-07-01]])-SUMIF(Table327[[#Data],[#Totals],[Movement]],"Debit", Table327[[#Data],[#Totals],[2024-07-01]])</totalsRowFormula>
    </tableColumn>
    <tableColumn id="10" xr3:uid="{C2FA8C69-9A64-764E-B91D-232CF4696276}" name="2024-08-01" totalsRowFunction="custom" dataDxfId="70" totalsRowDxfId="48">
      <totalsRowFormula>SUMIF(Table327[[#Data],[#Totals],[Movement]],"Credit", Table327[[#Data],[#Totals],[2024-08-01]])-SUMIF(Table327[[#Data],[#Totals],[Movement]],"Debit", Table327[[#Data],[#Totals],[2024-08-01]])</totalsRowFormula>
    </tableColumn>
    <tableColumn id="11" xr3:uid="{DA8F87DE-6FA5-C542-A1E2-C65545DB76F6}" name="2024-09-01" totalsRowFunction="custom" dataDxfId="69" totalsRowDxfId="47">
      <totalsRowFormula>SUMIF(Table327[[#Data],[#Totals],[Movement]],"Credit", Table327[[#Data],[#Totals],[2024-09-01]])-SUMIF(Table327[[#Data],[#Totals],[Movement]],"Debit", Table327[[#Data],[#Totals],[2024-09-01]])</totalsRowFormula>
    </tableColumn>
    <tableColumn id="12" xr3:uid="{2744F012-CFCA-FC43-8A49-88A121FA14CE}" name="2024-10-01" totalsRowFunction="custom" dataDxfId="68" totalsRowDxfId="46">
      <totalsRowFormula>SUMIF(Table327[[#Data],[#Totals],[Movement]],"Credit", Table327[[#Data],[#Totals],[2024-10-01]])-SUMIF(Table327[[#Data],[#Totals],[Movement]],"Debit", Table327[[#Data],[#Totals],[2024-10-01]])</totalsRowFormula>
    </tableColumn>
    <tableColumn id="13" xr3:uid="{39FF230A-B9E3-3242-ABFB-EB1A480E6CB3}" name="2024-11-01" totalsRowFunction="custom" dataDxfId="67" totalsRowDxfId="45">
      <totalsRowFormula>SUMIF(Table327[[#Data],[#Totals],[Movement]],"Credit", Table327[[#Data],[#Totals],[2024-11-01]])-SUMIF(Table327[[#Data],[#Totals],[Movement]],"Debit", Table327[[#Data],[#Totals],[2024-11-01]])</totalsRowFormula>
    </tableColumn>
    <tableColumn id="14" xr3:uid="{A7BFC294-B1BF-E445-BCCD-9C9D1112238B}" name="2024-12-01" totalsRowFunction="custom" dataDxfId="66" totalsRowDxfId="44">
      <totalsRowFormula>SUMIF(Table327[[#Data],[#Totals],[Movement]],"Credit", Table327[[#Data],[#Totals],[2024-12-01]])-SUMIF(Table327[[#Data],[#Totals],[Movement]],"Debit", Table327[[#Data],[#Totals],[2024-12-01]])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DA390-7C62-034C-B072-5AE198A0EE1C}" name="Table325" displayName="Table325" ref="A1:J10" totalsRowShown="0" headerRowDxfId="100" dataDxfId="54">
  <autoFilter ref="A1:J10" xr:uid="{92565AF6-51CB-F740-ACD0-AD376C5F8FE0}"/>
  <tableColumns count="10">
    <tableColumn id="5" xr3:uid="{0BB631CD-7A04-8A42-B7DB-927BAF556EEE}" name="Movement" dataDxfId="64"/>
    <tableColumn id="6" xr3:uid="{F2B17D4B-E397-234D-B50E-5D377954B9CE}" name="Account Secondary" dataDxfId="63"/>
    <tableColumn id="7" xr3:uid="{224B2C86-CE9C-9740-8863-A79E9BA6474C}" name="2024-05-01" dataDxfId="62"/>
    <tableColumn id="8" xr3:uid="{86C20A53-81CA-5C44-94E5-DFEF4FEBDB46}" name="2024-06-01" dataDxfId="61"/>
    <tableColumn id="9" xr3:uid="{7A5EB71F-2A37-D94A-A511-CB581024F945}" name="2024-07-01" dataDxfId="60"/>
    <tableColumn id="10" xr3:uid="{4323FC88-E3C5-C942-A248-8725F58D05F1}" name="2024-08-01" dataDxfId="59"/>
    <tableColumn id="11" xr3:uid="{A67EE3D4-5BA4-CB4C-A243-EC07A75B9A2A}" name="2024-09-01" dataDxfId="58"/>
    <tableColumn id="12" xr3:uid="{D8311E55-3FCF-5646-9D4B-8E41AACE8122}" name="2024-10-01" dataDxfId="57"/>
    <tableColumn id="13" xr3:uid="{1068DD40-0163-AB4F-BD01-F087C1DA52FC}" name="2024-11-01" dataDxfId="56"/>
    <tableColumn id="14" xr3:uid="{1979ACD9-F9BF-B64F-8FAE-C5E1FD6DB39A}" name="2024-12-01" dataDxfId="5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8D46-04BB-0942-B50C-97F8D19A9484}" name="Table323" displayName="Table323" ref="A1:J5" totalsRowShown="0" headerRowDxfId="172" dataDxfId="171">
  <autoFilter ref="A1:J5" xr:uid="{92565AF6-51CB-F740-ACD0-AD376C5F8FE0}"/>
  <tableColumns count="10">
    <tableColumn id="1" xr3:uid="{0B7A1F2D-D042-6947-B65B-356D4D33EC84}" name="Movement" dataDxfId="170"/>
    <tableColumn id="6" xr3:uid="{8D570864-DCAB-384F-9AAB-0B1B408BA72D}" name="Account Secondary" dataDxfId="169"/>
    <tableColumn id="7" xr3:uid="{1C5600AD-E9D1-6040-A70C-7F4F4F75639C}" name="2024-05-01" dataDxfId="168"/>
    <tableColumn id="8" xr3:uid="{A3364F3B-B8BC-434D-A8BB-FFC3B8C71293}" name="2024-06-01" dataDxfId="167"/>
    <tableColumn id="9" xr3:uid="{1771F61E-E416-CE41-8394-E64B9057B10F}" name="2024-07-01" dataDxfId="166"/>
    <tableColumn id="10" xr3:uid="{7188F6FE-F410-1741-B1DE-14957C8A5CB8}" name="2024-08-01" dataDxfId="165"/>
    <tableColumn id="11" xr3:uid="{C2DE6C79-5960-3D4C-B26C-70E7E132D282}" name="2024-09-01" dataDxfId="164"/>
    <tableColumn id="12" xr3:uid="{F4072681-3F04-0A46-9D9B-9A5803996783}" name="2024-10-01" dataDxfId="163"/>
    <tableColumn id="13" xr3:uid="{AB81E1BD-B0CD-E84E-BC8A-D81316A44B08}" name="2024-11-01" dataDxfId="162"/>
    <tableColumn id="14" xr3:uid="{7B9D14C4-BF9C-C74A-A14D-9A201AB2AF66}" name="2024-12-01" dataDxfId="16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02B49-2777-3448-9DCF-365AAD4235B1}" name="Table328" displayName="Table328" ref="A1:AH8" totalsRowCount="1" headerRowDxfId="160" dataDxfId="159">
  <autoFilter ref="A1:AH7" xr:uid="{92565AF6-51CB-F740-ACD0-AD376C5F8FE0}"/>
  <tableColumns count="34">
    <tableColumn id="1" xr3:uid="{132F1BF4-3588-8A4B-8F98-DB76AAE601DC}" name="Movement" totalsRowLabel="Subtotal" dataDxfId="158" totalsRowDxfId="43"/>
    <tableColumn id="6" xr3:uid="{81ACCF9B-B060-EC46-8372-B215BC3E24E6}" name="Account Secondary" totalsRowLabel="Jodine U" dataDxfId="157" totalsRowDxfId="42"/>
    <tableColumn id="7" xr3:uid="{984BE13D-B3F0-4141-8171-AF453C2EDE3E}" name="2024-05-01" totalsRowFunction="custom" dataDxfId="156" totalsRowDxfId="41">
      <totalsRowFormula>SUMIF(Table328[[Movement]:[Movement]],"Credit", Table328[2024-05-01])-SUMIF(Table328[[Movement]:[Movement]],"Debit", Table328[2024-05-01])</totalsRowFormula>
    </tableColumn>
    <tableColumn id="8" xr3:uid="{2BB3D3C5-F012-FD47-A358-58BB6A556D7D}" name="2024-06-01" totalsRowFunction="custom" dataDxfId="155" totalsRowDxfId="40">
      <totalsRowFormula>SUMIF(Table328[[Movement]:[Movement]],"Credit", Table328[2024-06-01])-SUMIF(Table328[[Movement]:[Movement]],"Debit", Table328[2024-06-01])</totalsRowFormula>
    </tableColumn>
    <tableColumn id="9" xr3:uid="{EBB6AB3B-A446-DB4F-8264-72B3190C9CED}" name="2024-07-01" totalsRowFunction="custom" dataDxfId="154" totalsRowDxfId="39">
      <totalsRowFormula>SUMIF(Table328[[Movement]:[Movement]],"Credit", Table328[2024-07-01])-SUMIF(Table328[[Movement]:[Movement]],"Debit", Table328[2024-07-01])</totalsRowFormula>
    </tableColumn>
    <tableColumn id="10" xr3:uid="{DBE96D9B-9F27-8F47-86E4-7AAF262DF5C8}" name="2024-08-01" totalsRowFunction="custom" dataDxfId="153" totalsRowDxfId="38">
      <totalsRowFormula>SUMIF(Table328[[Movement]:[Movement]],"Credit", Table328[2024-08-01])-SUMIF(Table328[[Movement]:[Movement]],"Debit", Table328[2024-08-01])</totalsRowFormula>
    </tableColumn>
    <tableColumn id="11" xr3:uid="{6462287A-231A-F94A-AFF2-718E314EBE0D}" name="2024-09-01" totalsRowFunction="custom" dataDxfId="152" totalsRowDxfId="37">
      <totalsRowFormula>SUMIF(Table328[[Movement]:[Movement]],"Credit", Table328[2024-09-01])-SUMIF(Table328[[Movement]:[Movement]],"Debit", Table328[2024-09-01])</totalsRowFormula>
    </tableColumn>
    <tableColumn id="12" xr3:uid="{7D2A10AB-97F3-9446-95E7-2824AB9C1D8B}" name="2024-10-01" totalsRowFunction="custom" dataDxfId="151" totalsRowDxfId="36">
      <totalsRowFormula>SUMIF(Table328[[Movement]:[Movement]],"Credit", Table328[2024-10-01])-SUMIF(Table328[[Movement]:[Movement]],"Debit", Table328[2024-10-01])</totalsRowFormula>
    </tableColumn>
    <tableColumn id="13" xr3:uid="{85B33C4E-94DF-EC4C-8640-5B925E92396A}" name="2024-11-01" totalsRowFunction="custom" dataDxfId="150" totalsRowDxfId="35">
      <totalsRowFormula>SUMIF(Table328[[Movement]:[Movement]],"Credit", Table328[2024-11-01])-SUMIF(Table328[[Movement]:[Movement]],"Debit", Table328[2024-11-01])</totalsRowFormula>
    </tableColumn>
    <tableColumn id="14" xr3:uid="{54118784-7FBB-8442-9E75-D434EAE0D358}" name="2024-12-01" totalsRowFunction="custom" dataDxfId="149" totalsRowDxfId="34">
      <totalsRowFormula>SUMIF(Table328[[Movement]:[Movement]],"Credit", Table328[2024-12-01])-SUMIF(Table328[[Movement]:[Movement]],"Debit", Table328[2024-12-01])</totalsRowFormula>
    </tableColumn>
    <tableColumn id="15" xr3:uid="{11E91D47-A42F-6F4F-8643-BBA17A2766CE}" name="2025-01-01" totalsRowFunction="custom" dataDxfId="148" totalsRowDxfId="33">
      <totalsRowFormula>SUMIF(Table328[[Movement]:[Movement]],"Credit", Table328[2025-01-01])-SUMIF(Table328[[Movement]:[Movement]],"Debit", Table328[2025-01-01])</totalsRowFormula>
    </tableColumn>
    <tableColumn id="16" xr3:uid="{A9F69F66-C1FE-A346-BC10-3BD28F4560DC}" name="2025-02-01" totalsRowFunction="custom" dataDxfId="147" totalsRowDxfId="32">
      <totalsRowFormula>SUMIF(Table328[[Movement]:[Movement]],"Credit", Table328[2025-02-01])-SUMIF(Table328[[Movement]:[Movement]],"Debit", Table328[2025-02-01])</totalsRowFormula>
    </tableColumn>
    <tableColumn id="17" xr3:uid="{F4313802-9F49-A249-829D-BE1DAC00470C}" name="2025-03-01" totalsRowFunction="custom" dataDxfId="146" totalsRowDxfId="31">
      <totalsRowFormula>SUMIF(Table328[[Movement]:[Movement]],"Credit", Table328[2025-03-01])-SUMIF(Table328[[Movement]:[Movement]],"Debit", Table328[2025-03-01])</totalsRowFormula>
    </tableColumn>
    <tableColumn id="18" xr3:uid="{70DCD78C-734A-2A4F-96D9-75E2F722BBEF}" name="2025-04-01" totalsRowFunction="custom" dataDxfId="145" totalsRowDxfId="30">
      <totalsRowFormula>SUMIF(Table328[[Movement]:[Movement]],"Credit", Table328[2025-04-01])-SUMIF(Table328[[Movement]:[Movement]],"Debit", Table328[2025-04-01])</totalsRowFormula>
    </tableColumn>
    <tableColumn id="19" xr3:uid="{3CB93C70-C607-C849-9D6E-A12F48DB0917}" name="2025-05-01" totalsRowFunction="custom" dataDxfId="144" totalsRowDxfId="29">
      <totalsRowFormula>SUMIF(Table328[[Movement]:[Movement]],"Credit", Table328[2025-05-01])-SUMIF(Table328[[Movement]:[Movement]],"Debit", Table328[2025-05-01])</totalsRowFormula>
    </tableColumn>
    <tableColumn id="20" xr3:uid="{8B2DFDEA-F50F-564E-88EB-40B3ADE38284}" name="2025-06-01" totalsRowFunction="custom" dataDxfId="143" totalsRowDxfId="28">
      <totalsRowFormula>SUMIF(Table328[[Movement]:[Movement]],"Credit", Table328[2025-06-01])-SUMIF(Table328[[Movement]:[Movement]],"Debit", Table328[2025-06-01])</totalsRowFormula>
    </tableColumn>
    <tableColumn id="21" xr3:uid="{91AB2B18-50E8-D042-B65D-FE4C52807967}" name="2025-07-01" totalsRowFunction="custom" dataDxfId="142" totalsRowDxfId="27">
      <totalsRowFormula>SUMIF(Table328[[Movement]:[Movement]],"Credit", Table328[2025-07-01])-SUMIF(Table328[[Movement]:[Movement]],"Debit", Table328[2025-07-01])</totalsRowFormula>
    </tableColumn>
    <tableColumn id="22" xr3:uid="{1B34BB85-1C48-D24A-AECB-C60DA7FC690D}" name="2025-08-01" totalsRowFunction="custom" dataDxfId="141" totalsRowDxfId="26">
      <totalsRowFormula>SUMIF(Table328[[Movement]:[Movement]],"Credit", Table328[2025-08-01])-SUMIF(Table328[[Movement]:[Movement]],"Debit", Table328[2025-08-01])</totalsRowFormula>
    </tableColumn>
    <tableColumn id="23" xr3:uid="{6AA34C9A-7D16-4045-8E67-CAA0588D1E20}" name="2025-09-01" totalsRowFunction="custom" dataDxfId="140" totalsRowDxfId="25">
      <totalsRowFormula>SUMIF(Table328[[Movement]:[Movement]],"Credit", Table328[2025-09-01])-SUMIF(Table328[[Movement]:[Movement]],"Debit", Table328[2025-09-01])</totalsRowFormula>
    </tableColumn>
    <tableColumn id="24" xr3:uid="{F76057EE-251C-8347-AA7B-C0BD03E23E1B}" name="2025-10-01" totalsRowFunction="custom" dataDxfId="139" totalsRowDxfId="24">
      <totalsRowFormula>SUMIF(Table328[[Movement]:[Movement]],"Credit", Table328[2025-10-01])-SUMIF(Table328[[Movement]:[Movement]],"Debit", Table328[2025-10-01])</totalsRowFormula>
    </tableColumn>
    <tableColumn id="25" xr3:uid="{B3CED7D0-5665-8843-BB8D-DD4B2D475330}" name="2025-11-01" totalsRowFunction="custom" dataDxfId="138" totalsRowDxfId="23">
      <totalsRowFormula>SUMIF(Table328[[Movement]:[Movement]],"Credit", Table328[2025-11-01])-SUMIF(Table328[[Movement]:[Movement]],"Debit", Table328[2025-11-01])</totalsRowFormula>
    </tableColumn>
    <tableColumn id="26" xr3:uid="{17986AF3-FF29-0945-9531-7F4A42463D68}" name="2025-12-01" totalsRowFunction="custom" dataDxfId="137" totalsRowDxfId="22">
      <totalsRowFormula>SUMIF(Table328[[Movement]:[Movement]],"Credit", Table328[2025-12-01])-SUMIF(Table328[[Movement]:[Movement]],"Debit", Table328[2025-12-01])</totalsRowFormula>
    </tableColumn>
    <tableColumn id="27" xr3:uid="{A0E3385D-60FC-124E-ACB2-3CF5068E197E}" name="2026-01-01" totalsRowFunction="custom" dataDxfId="136" totalsRowDxfId="21">
      <totalsRowFormula>SUMIF(Table328[[Movement]:[Movement]],"Credit", Table328[2026-01-01])-SUMIF(Table328[[Movement]:[Movement]],"Debit", Table328[2026-01-01])</totalsRowFormula>
    </tableColumn>
    <tableColumn id="28" xr3:uid="{2B18E388-6340-864F-94E0-B6C712B3E140}" name="2026-02-01" totalsRowFunction="custom" dataDxfId="135" totalsRowDxfId="20">
      <totalsRowFormula>SUMIF(Table328[[Movement]:[Movement]],"Credit", Table328[2026-02-01])-SUMIF(Table328[[Movement]:[Movement]],"Debit", Table328[2026-02-01])</totalsRowFormula>
    </tableColumn>
    <tableColumn id="29" xr3:uid="{A56D1D1A-BCDD-3A4E-996A-4D01DADFF67B}" name="2026-03-01" totalsRowFunction="custom" dataDxfId="134" totalsRowDxfId="19">
      <totalsRowFormula>SUMIF(Table328[[Movement]:[Movement]],"Credit", Table328[2026-03-01])-SUMIF(Table328[[Movement]:[Movement]],"Debit", Table328[2026-03-01])</totalsRowFormula>
    </tableColumn>
    <tableColumn id="30" xr3:uid="{A90A62ED-9074-8848-A318-D26D567C3D87}" name="2026-04-01" totalsRowFunction="custom" dataDxfId="133" totalsRowDxfId="18">
      <totalsRowFormula>SUMIF(Table328[[Movement]:[Movement]],"Credit", Table328[2026-04-01])-SUMIF(Table328[[Movement]:[Movement]],"Debit", Table328[2026-04-01])</totalsRowFormula>
    </tableColumn>
    <tableColumn id="31" xr3:uid="{FC125C77-2688-F547-86F6-9B4B045F6EEF}" name="2026-05-01" totalsRowFunction="custom" dataDxfId="132" totalsRowDxfId="17">
      <totalsRowFormula>SUMIF(Table328[[Movement]:[Movement]],"Credit", Table328[2026-05-01])-SUMIF(Table328[[Movement]:[Movement]],"Debit", Table328[2026-05-01])</totalsRowFormula>
    </tableColumn>
    <tableColumn id="32" xr3:uid="{3A8C66D0-0121-B94A-963B-D4F350471546}" name="2026-06-01" totalsRowFunction="custom" dataDxfId="131" totalsRowDxfId="16">
      <totalsRowFormula>SUMIF(Table328[[Movement]:[Movement]],"Credit", Table328[2026-06-01])-SUMIF(Table328[[Movement]:[Movement]],"Debit", Table328[2026-06-01])</totalsRowFormula>
    </tableColumn>
    <tableColumn id="33" xr3:uid="{8BB2DE1C-C13D-B840-A57E-E8E08A13B45E}" name="2026-07-01" totalsRowFunction="custom" dataDxfId="130" totalsRowDxfId="15">
      <totalsRowFormula>SUMIF(Table328[[Movement]:[Movement]],"Credit", Table328[2026-07-01])-SUMIF(Table328[[Movement]:[Movement]],"Debit", Table328[2026-07-01])</totalsRowFormula>
    </tableColumn>
    <tableColumn id="34" xr3:uid="{8DA66CDB-6161-CC4D-A571-DD72FF861D17}" name="2026-08-01" totalsRowFunction="custom" dataDxfId="129" totalsRowDxfId="14">
      <totalsRowFormula>SUMIF(Table328[[Movement]:[Movement]],"Credit", Table328[2026-08-01])-SUMIF(Table328[[Movement]:[Movement]],"Debit", Table328[2026-08-01])</totalsRowFormula>
    </tableColumn>
    <tableColumn id="35" xr3:uid="{4E89C43D-38B3-564B-B587-E203230DA850}" name="2026-09-01" totalsRowFunction="custom" dataDxfId="128" totalsRowDxfId="13">
      <totalsRowFormula>SUMIF(Table328[[Movement]:[Movement]],"Credit", Table328[2026-09-01])-SUMIF(Table328[[Movement]:[Movement]],"Debit", Table328[2026-09-01])</totalsRowFormula>
    </tableColumn>
    <tableColumn id="36" xr3:uid="{4DE10C26-4FB6-3F4C-BA3A-36166F4CC466}" name="2026-10-01" totalsRowFunction="custom" dataDxfId="127" totalsRowDxfId="12">
      <totalsRowFormula>SUMIF(Table328[[Movement]:[Movement]],"Credit", Table328[2026-10-01])-SUMIF(Table328[[Movement]:[Movement]],"Debit", Table328[2026-10-01])</totalsRowFormula>
    </tableColumn>
    <tableColumn id="37" xr3:uid="{F55F2EEA-2A6C-424C-BBBE-15F2332B5582}" name="2026-11-01" totalsRowFunction="custom" dataDxfId="126" totalsRowDxfId="11">
      <totalsRowFormula>SUMIF(Table328[[Movement]:[Movement]],"Credit", Table328[2026-11-01])-SUMIF(Table328[[Movement]:[Movement]],"Debit", Table328[2026-11-01])</totalsRowFormula>
    </tableColumn>
    <tableColumn id="38" xr3:uid="{5F503672-BD07-7B4C-BCCD-24CB778A34F6}" name="2026-12-01" totalsRowFunction="custom" dataDxfId="125" totalsRowDxfId="10">
      <totalsRowFormula>SUMIF(Table328[[Movement]:[Movement]],"Credit", Table328[2026-12-01])-SUMIF(Table328[[Movement]:[Movement]],"Debit", Table328[2026-12-01])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5CAA0-1A50-D140-A5F5-D8D57F9F6C72}" name="Table5" displayName="Table5" ref="A1:J4" totalsRowShown="0" headerRowDxfId="124" tableBorderDxfId="123">
  <autoFilter ref="A1:J4" xr:uid="{7525CAA0-1A50-D140-A5F5-D8D57F9F6C72}"/>
  <tableColumns count="10">
    <tableColumn id="1" xr3:uid="{1CB6D3F1-51C1-684B-93B6-9FA82F9F067F}" name="Movement"/>
    <tableColumn id="2" xr3:uid="{8D85302C-B2C7-D04E-9B6D-9E41A4C3874E}" name="Account Secondary"/>
    <tableColumn id="3" xr3:uid="{0B6873A1-757B-0D40-B3F0-BEA04C0D6434}" name="2024-05-01"/>
    <tableColumn id="4" xr3:uid="{19FEB763-61F6-6047-AA87-B41434BB7F2B}" name="2024-06-01"/>
    <tableColumn id="5" xr3:uid="{083028C3-723C-B14A-8548-95E3C5B52F75}" name="2024-07-01"/>
    <tableColumn id="6" xr3:uid="{4AD87858-0F42-684D-BB2F-D3B5B2D2562D}" name="2024-08-01"/>
    <tableColumn id="7" xr3:uid="{BB38845A-193D-1345-8563-6D79887BED8D}" name="2024-09-01"/>
    <tableColumn id="8" xr3:uid="{3BE6CE66-0FF8-3E4E-9B1C-A9D34EF4F340}" name="2024-10-01"/>
    <tableColumn id="9" xr3:uid="{13319CD7-98C5-4944-BD83-2F6BD0A28A0F}" name="2024-11-01"/>
    <tableColumn id="10" xr3:uid="{5F732ED9-A95B-AA4F-9A36-603AD3652A07}" name="2024-12-0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C6871-545C-FE44-A877-F290E451E1CF}" name="Table32810" displayName="Table32810" ref="A1:J9" totalsRowCount="1" headerRowDxfId="122" dataDxfId="121">
  <autoFilter ref="A1:J8" xr:uid="{92565AF6-51CB-F740-ACD0-AD376C5F8FE0}"/>
  <tableColumns count="10">
    <tableColumn id="5" xr3:uid="{06CF438D-1451-314D-9C7A-32F80F032CDD}" name="Movement" totalsRowLabel="Subtotal" dataDxfId="120" totalsRowDxfId="119"/>
    <tableColumn id="6" xr3:uid="{D85B60B0-DD6D-9B4D-A4AD-5C8378063533}" name="Account Secondary" totalsRowLabel="Personal Wealth" dataDxfId="118" totalsRowDxfId="117"/>
    <tableColumn id="7" xr3:uid="{1DFF1C23-E2EA-B34F-AE16-2538AE6684FC}" name="2024-05-01" totalsRowFunction="custom" dataDxfId="116" totalsRowDxfId="115">
      <totalsRowFormula>SUMIF(Table32810[[Movement]:[Movement]],"Credit", Table32810[2024-05-01])-SUMIF(Table32810[[Movement]:[Movement]],"Debit", Table32810[2024-05-01])</totalsRowFormula>
    </tableColumn>
    <tableColumn id="8" xr3:uid="{907257EB-F7D6-6546-8554-11888A9984A2}" name="2024-06-01" totalsRowFunction="custom" dataDxfId="114" totalsRowDxfId="113">
      <totalsRowFormula>SUMIF(Table32810[[Movement]:[Movement]],"Credit", Table32810[2024-06-01])-SUMIF(Table32810[[Movement]:[Movement]],"Debit", Table32810[2024-06-01])</totalsRowFormula>
    </tableColumn>
    <tableColumn id="9" xr3:uid="{FE62F661-5418-9F4D-9296-96235170EEE2}" name="2024-07-01" totalsRowFunction="custom" dataDxfId="112" totalsRowDxfId="111">
      <totalsRowFormula>SUMIF(Table32810[[Movement]:[Movement]],"Credit", Table32810[2024-07-01])-SUMIF(Table32810[[Movement]:[Movement]],"Debit", Table32810[2024-07-01])</totalsRowFormula>
    </tableColumn>
    <tableColumn id="10" xr3:uid="{EC9FF017-0724-754A-A9F0-748CE63A36A8}" name="2024-08-01" totalsRowFunction="custom" dataDxfId="110" totalsRowDxfId="109">
      <totalsRowFormula>SUMIF(Table32810[[Movement]:[Movement]],"Credit", Table32810[2024-08-01])-SUMIF(Table32810[[Movement]:[Movement]],"Debit", Table32810[2024-08-01])</totalsRowFormula>
    </tableColumn>
    <tableColumn id="11" xr3:uid="{7E66D972-3166-8A43-A093-BCA6C3942C4A}" name="2024-09-01" totalsRowFunction="custom" dataDxfId="108" totalsRowDxfId="107">
      <totalsRowFormula>SUMIF(Table32810[[Movement]:[Movement]],"Credit", Table32810[2024-09-01])-SUMIF(Table32810[[Movement]:[Movement]],"Debit", Table32810[2024-09-01])</totalsRowFormula>
    </tableColumn>
    <tableColumn id="12" xr3:uid="{840B9A2E-DC2B-9A4F-8617-982B6F6D108A}" name="2024-10-01" totalsRowFunction="custom" dataDxfId="106" totalsRowDxfId="105">
      <totalsRowFormula>SUMIF(Table32810[[Movement]:[Movement]],"Credit", Table32810[2024-10-01])-SUMIF(Table32810[[Movement]:[Movement]],"Debit", Table32810[2024-10-01])</totalsRowFormula>
    </tableColumn>
    <tableColumn id="13" xr3:uid="{0D33C5AC-1054-174A-B4A6-9D8972553972}" name="2024-11-01" totalsRowFunction="custom" dataDxfId="104" totalsRowDxfId="103">
      <totalsRowFormula>SUMIF(Table32810[[Movement]:[Movement]],"Credit", Table32810[2024-11-01])-SUMIF(Table32810[[Movement]:[Movement]],"Debit", Table32810[2024-11-01])</totalsRowFormula>
    </tableColumn>
    <tableColumn id="14" xr3:uid="{DD93DC27-7299-434C-852A-9DE22656D361}" name="2024-12-01" totalsRowFunction="custom" dataDxfId="102" totalsRowDxfId="101">
      <totalsRowFormula>SUMIF(Table32810[[Movement]:[Movement]],"Credit", Table32810[2024-12-01])-SUMIF(Table32810[[Movement]:[Movement]],"Debit", Table32810[2024-12-01])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73226-BE95-ED4B-8E84-34502A072542}" name="Table3254" displayName="Table3254" ref="A1:J4" totalsRowShown="0" headerRowDxfId="99" dataDxfId="98">
  <autoFilter ref="A1:J4" xr:uid="{D9073226-BE95-ED4B-8E84-34502A072542}"/>
  <tableColumns count="10">
    <tableColumn id="5" xr3:uid="{D736239C-8F8A-0A41-855C-2D61D9FA6F03}" name="Movement" dataDxfId="97"/>
    <tableColumn id="6" xr3:uid="{879B2830-2DB7-7C44-BEEF-A003D5F5C5EF}" name="Account Secondary" dataDxfId="96"/>
    <tableColumn id="7" xr3:uid="{142EA412-8F0A-D645-9812-6B2B6729A8A4}" name="2024-05-01" dataDxfId="95"/>
    <tableColumn id="8" xr3:uid="{DD117CB8-2856-0D48-9412-33F2845F937D}" name="2024-06-01" dataDxfId="94"/>
    <tableColumn id="9" xr3:uid="{C9503397-2C2A-5B4B-84F6-7256EAD4FF82}" name="2024-07-01" dataDxfId="93"/>
    <tableColumn id="10" xr3:uid="{528B3BEA-F5F6-CA4E-AA11-9CB0EBC907A1}" name="2024-08-01" dataDxfId="92"/>
    <tableColumn id="11" xr3:uid="{248F2750-40B2-694E-B3E3-8C20B5CD9E09}" name="2024-09-01" dataDxfId="91"/>
    <tableColumn id="12" xr3:uid="{FB23FE30-E2E2-BE49-A8AF-CCF74A9E5265}" name="2024-10-01" dataDxfId="90"/>
    <tableColumn id="13" xr3:uid="{B7503BFF-CAE0-234C-B277-0A411884B34E}" name="2024-11-01" dataDxfId="89"/>
    <tableColumn id="14" xr3:uid="{990DC215-1A0B-E34F-9CD0-E23EE6337BA8}" name="2024-12-01" dataDxfId="8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dimension ref="A1:K27"/>
  <sheetViews>
    <sheetView showGridLines="0" tabSelected="1" workbookViewId="0">
      <selection activeCell="F39" sqref="F39"/>
    </sheetView>
  </sheetViews>
  <sheetFormatPr baseColWidth="10" defaultRowHeight="16" x14ac:dyDescent="0.2"/>
  <cols>
    <col min="2" max="2" width="25.6640625" bestFit="1" customWidth="1"/>
    <col min="3" max="3" width="20" hidden="1" customWidth="1"/>
    <col min="4" max="4" width="15.1640625" style="1" hidden="1" customWidth="1"/>
    <col min="5" max="5" width="15.1640625" style="1" bestFit="1" customWidth="1"/>
    <col min="6" max="11" width="15.1640625" bestFit="1" customWidth="1"/>
  </cols>
  <sheetData>
    <row r="1" spans="1:11" ht="17" thickBot="1" x14ac:dyDescent="0.25">
      <c r="A1" s="6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</row>
    <row r="2" spans="1:11" s="2" customFormat="1" ht="22" x14ac:dyDescent="0.3">
      <c r="A2" s="51" t="s">
        <v>51</v>
      </c>
      <c r="B2" s="51" t="s">
        <v>38</v>
      </c>
      <c r="C2" s="30">
        <v>27000</v>
      </c>
      <c r="D2" s="30">
        <v>27000</v>
      </c>
      <c r="E2" s="30">
        <v>21600</v>
      </c>
      <c r="F2" s="30">
        <v>21600</v>
      </c>
      <c r="G2" s="30">
        <v>21600</v>
      </c>
      <c r="H2" s="30">
        <v>21600</v>
      </c>
      <c r="I2" s="30">
        <v>21600</v>
      </c>
      <c r="J2" s="30">
        <v>21600</v>
      </c>
    </row>
    <row r="3" spans="1:11" s="2" customFormat="1" ht="22" x14ac:dyDescent="0.3">
      <c r="A3" s="51" t="s">
        <v>51</v>
      </c>
      <c r="B3" s="51" t="s">
        <v>79</v>
      </c>
      <c r="C3" s="30">
        <v>1325</v>
      </c>
      <c r="D3" s="30">
        <v>1325</v>
      </c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</row>
    <row r="4" spans="1:11" s="2" customFormat="1" ht="22" x14ac:dyDescent="0.3">
      <c r="A4" s="51" t="s">
        <v>51</v>
      </c>
      <c r="B4" s="51" t="s">
        <v>17</v>
      </c>
      <c r="C4" s="30">
        <v>7700</v>
      </c>
      <c r="D4" s="30">
        <v>7700</v>
      </c>
      <c r="E4" s="30">
        <v>7500</v>
      </c>
      <c r="F4" s="30">
        <v>7500</v>
      </c>
      <c r="G4" s="30">
        <v>7500</v>
      </c>
      <c r="H4" s="30">
        <v>7500</v>
      </c>
      <c r="I4" s="30">
        <v>7500</v>
      </c>
      <c r="J4" s="30">
        <v>7500</v>
      </c>
    </row>
    <row r="5" spans="1:11" s="3" customFormat="1" ht="22" x14ac:dyDescent="0.3">
      <c r="A5" s="47" t="s">
        <v>52</v>
      </c>
      <c r="B5" s="47" t="s">
        <v>10</v>
      </c>
      <c r="C5" s="48">
        <v>500</v>
      </c>
      <c r="D5" s="48">
        <v>1500</v>
      </c>
      <c r="E5" s="48">
        <v>250</v>
      </c>
      <c r="F5" s="48">
        <v>500</v>
      </c>
      <c r="G5" s="48">
        <v>500</v>
      </c>
      <c r="H5" s="48">
        <v>500</v>
      </c>
      <c r="I5" s="48">
        <v>500</v>
      </c>
      <c r="J5" s="48">
        <v>500</v>
      </c>
      <c r="K5" s="7"/>
    </row>
    <row r="6" spans="1:11" s="3" customFormat="1" ht="22" x14ac:dyDescent="0.3">
      <c r="A6" s="47" t="s">
        <v>52</v>
      </c>
      <c r="B6" s="47" t="s">
        <v>1</v>
      </c>
      <c r="C6" s="48">
        <v>8140</v>
      </c>
      <c r="D6" s="48">
        <v>8140</v>
      </c>
      <c r="E6" s="48">
        <v>8140</v>
      </c>
      <c r="F6" s="48">
        <v>8140</v>
      </c>
      <c r="G6" s="48">
        <v>8140</v>
      </c>
      <c r="H6" s="48">
        <v>8140</v>
      </c>
      <c r="I6" s="48">
        <v>8140</v>
      </c>
      <c r="J6" s="48">
        <v>8140</v>
      </c>
    </row>
    <row r="7" spans="1:11" s="3" customFormat="1" ht="22" x14ac:dyDescent="0.3">
      <c r="A7" s="47" t="s">
        <v>52</v>
      </c>
      <c r="B7" s="47" t="s">
        <v>2</v>
      </c>
      <c r="C7" s="48">
        <v>3500</v>
      </c>
      <c r="D7" s="48">
        <v>3578</v>
      </c>
      <c r="E7" s="48">
        <v>3578</v>
      </c>
      <c r="F7" s="48">
        <v>3578</v>
      </c>
      <c r="G7" s="48">
        <v>3578</v>
      </c>
      <c r="H7" s="48">
        <v>3578</v>
      </c>
      <c r="I7" s="48">
        <v>3578</v>
      </c>
      <c r="J7" s="48">
        <v>3578</v>
      </c>
    </row>
    <row r="8" spans="1:11" s="3" customFormat="1" ht="22" x14ac:dyDescent="0.3">
      <c r="A8" s="47" t="s">
        <v>52</v>
      </c>
      <c r="B8" s="47" t="s">
        <v>3</v>
      </c>
      <c r="C8" s="48">
        <v>3100</v>
      </c>
      <c r="D8" s="48">
        <v>1700</v>
      </c>
      <c r="E8" s="48">
        <v>1700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</row>
    <row r="9" spans="1:11" s="46" customFormat="1" ht="22" x14ac:dyDescent="0.3">
      <c r="A9" s="47" t="s">
        <v>52</v>
      </c>
      <c r="B9" s="49" t="s">
        <v>4</v>
      </c>
      <c r="C9" s="45">
        <v>4530</v>
      </c>
      <c r="D9" s="45">
        <v>4530</v>
      </c>
      <c r="E9" s="45">
        <v>4530</v>
      </c>
      <c r="F9" s="45">
        <v>4530</v>
      </c>
      <c r="G9" s="45">
        <v>4530</v>
      </c>
      <c r="H9" s="45">
        <v>4530</v>
      </c>
      <c r="I9" s="45">
        <v>4530</v>
      </c>
      <c r="J9" s="45">
        <v>4530</v>
      </c>
    </row>
    <row r="10" spans="1:11" s="46" customFormat="1" ht="22" x14ac:dyDescent="0.3">
      <c r="A10" s="47" t="s">
        <v>52</v>
      </c>
      <c r="B10" s="47" t="s">
        <v>22</v>
      </c>
      <c r="C10" s="48">
        <v>110</v>
      </c>
      <c r="D10" s="48">
        <v>170</v>
      </c>
      <c r="E10" s="48">
        <v>170</v>
      </c>
      <c r="F10" s="48">
        <v>170</v>
      </c>
      <c r="G10" s="48">
        <v>170</v>
      </c>
      <c r="H10" s="48">
        <v>170</v>
      </c>
      <c r="I10" s="48">
        <v>170</v>
      </c>
      <c r="J10" s="48">
        <v>170</v>
      </c>
    </row>
    <row r="11" spans="1:11" s="46" customFormat="1" ht="22" x14ac:dyDescent="0.3">
      <c r="A11" s="47" t="s">
        <v>52</v>
      </c>
      <c r="B11" s="49" t="s">
        <v>5</v>
      </c>
      <c r="C11" s="45">
        <v>117</v>
      </c>
      <c r="D11" s="45">
        <v>117</v>
      </c>
      <c r="E11" s="45">
        <v>117</v>
      </c>
      <c r="F11" s="45">
        <v>117</v>
      </c>
      <c r="G11" s="45">
        <v>117</v>
      </c>
      <c r="H11" s="45">
        <v>117</v>
      </c>
      <c r="I11" s="45">
        <v>117</v>
      </c>
      <c r="J11" s="45">
        <v>117</v>
      </c>
    </row>
    <row r="12" spans="1:11" s="46" customFormat="1" ht="22" x14ac:dyDescent="0.3">
      <c r="A12" s="47" t="s">
        <v>52</v>
      </c>
      <c r="B12" s="47" t="s">
        <v>6</v>
      </c>
      <c r="C12" s="48">
        <v>1050</v>
      </c>
      <c r="D12" s="48">
        <v>988</v>
      </c>
      <c r="E12" s="48">
        <v>988</v>
      </c>
      <c r="F12" s="48">
        <v>988</v>
      </c>
      <c r="G12" s="48">
        <v>988</v>
      </c>
      <c r="H12" s="48">
        <v>988</v>
      </c>
      <c r="I12" s="48">
        <v>988</v>
      </c>
      <c r="J12" s="48">
        <v>988</v>
      </c>
    </row>
    <row r="13" spans="1:11" s="46" customFormat="1" ht="22" x14ac:dyDescent="0.3">
      <c r="A13" s="47" t="s">
        <v>52</v>
      </c>
      <c r="B13" s="49" t="s">
        <v>7</v>
      </c>
      <c r="C13" s="45">
        <v>1200</v>
      </c>
      <c r="D13" s="45">
        <v>560</v>
      </c>
      <c r="E13" s="45">
        <v>560</v>
      </c>
      <c r="F13" s="45">
        <v>560</v>
      </c>
      <c r="G13" s="45">
        <v>560</v>
      </c>
      <c r="H13" s="45">
        <v>560</v>
      </c>
      <c r="I13" s="45">
        <v>560</v>
      </c>
      <c r="J13" s="45">
        <v>560</v>
      </c>
    </row>
    <row r="14" spans="1:11" s="46" customFormat="1" ht="22" x14ac:dyDescent="0.3">
      <c r="A14" s="47" t="s">
        <v>52</v>
      </c>
      <c r="B14" s="47" t="s">
        <v>8</v>
      </c>
      <c r="C14" s="48">
        <v>440</v>
      </c>
      <c r="D14" s="48">
        <v>440</v>
      </c>
      <c r="E14" s="48">
        <v>440</v>
      </c>
      <c r="F14" s="48">
        <v>440</v>
      </c>
      <c r="G14" s="48">
        <v>440</v>
      </c>
      <c r="H14" s="48">
        <v>440</v>
      </c>
      <c r="I14" s="48">
        <v>440</v>
      </c>
      <c r="J14" s="48">
        <v>440</v>
      </c>
    </row>
    <row r="15" spans="1:11" s="46" customFormat="1" ht="22" x14ac:dyDescent="0.3">
      <c r="A15" s="47" t="s">
        <v>52</v>
      </c>
      <c r="B15" s="47" t="s">
        <v>15</v>
      </c>
      <c r="C15" s="48">
        <v>600</v>
      </c>
      <c r="D15" s="48">
        <v>600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</row>
    <row r="16" spans="1:11" s="46" customFormat="1" ht="22" x14ac:dyDescent="0.3">
      <c r="A16" s="47" t="s">
        <v>52</v>
      </c>
      <c r="B16" s="49" t="s">
        <v>13</v>
      </c>
      <c r="C16" s="45">
        <v>3500</v>
      </c>
      <c r="D16" s="45">
        <v>3500</v>
      </c>
      <c r="E16" s="45">
        <v>3500</v>
      </c>
      <c r="F16" s="45">
        <v>3500</v>
      </c>
      <c r="G16" s="45">
        <v>3500</v>
      </c>
      <c r="H16" s="45">
        <v>3500</v>
      </c>
      <c r="I16" s="45">
        <v>3500</v>
      </c>
      <c r="J16" s="45">
        <v>3500</v>
      </c>
    </row>
    <row r="17" spans="1:10" s="46" customFormat="1" ht="22" x14ac:dyDescent="0.3">
      <c r="A17" s="47" t="s">
        <v>52</v>
      </c>
      <c r="B17" s="47" t="s">
        <v>48</v>
      </c>
      <c r="C17" s="48">
        <v>1000</v>
      </c>
      <c r="D17" s="48">
        <v>1000</v>
      </c>
      <c r="E17" s="48">
        <v>1000</v>
      </c>
      <c r="F17" s="48">
        <v>1000</v>
      </c>
      <c r="G17" s="48">
        <v>1000</v>
      </c>
      <c r="H17" s="48">
        <v>1000</v>
      </c>
      <c r="I17" s="48">
        <v>1000</v>
      </c>
      <c r="J17" s="48">
        <v>1000</v>
      </c>
    </row>
    <row r="18" spans="1:10" s="46" customFormat="1" ht="22" x14ac:dyDescent="0.3">
      <c r="A18" s="47" t="s">
        <v>52</v>
      </c>
      <c r="B18" s="49" t="s">
        <v>14</v>
      </c>
      <c r="C18" s="45">
        <v>1000</v>
      </c>
      <c r="D18" s="45">
        <v>1500</v>
      </c>
      <c r="E18" s="45">
        <v>250</v>
      </c>
      <c r="F18" s="45">
        <v>500</v>
      </c>
      <c r="G18" s="45">
        <v>500</v>
      </c>
      <c r="H18" s="45">
        <v>500</v>
      </c>
      <c r="I18" s="45">
        <v>500</v>
      </c>
      <c r="J18" s="45">
        <v>500</v>
      </c>
    </row>
    <row r="19" spans="1:10" s="46" customFormat="1" ht="22" x14ac:dyDescent="0.3">
      <c r="A19" s="47" t="s">
        <v>52</v>
      </c>
      <c r="B19" s="47" t="s">
        <v>80</v>
      </c>
      <c r="C19" s="48">
        <v>5000</v>
      </c>
      <c r="D19" s="48">
        <v>4300</v>
      </c>
      <c r="E19" s="48">
        <v>3150</v>
      </c>
      <c r="F19" s="48">
        <v>3800</v>
      </c>
      <c r="G19" s="48">
        <v>3800</v>
      </c>
      <c r="H19" s="48">
        <v>3800</v>
      </c>
      <c r="I19" s="48">
        <v>3800</v>
      </c>
      <c r="J19" s="48">
        <v>3800</v>
      </c>
    </row>
    <row r="20" spans="1:10" s="46" customFormat="1" ht="22" x14ac:dyDescent="0.3">
      <c r="A20" s="47" t="s">
        <v>52</v>
      </c>
      <c r="B20" s="47" t="s">
        <v>49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</row>
    <row r="21" spans="1:10" s="3" customFormat="1" ht="22" x14ac:dyDescent="0.3">
      <c r="A21" s="47" t="s">
        <v>52</v>
      </c>
      <c r="B21" s="47" t="s">
        <v>37</v>
      </c>
      <c r="C21" s="48">
        <v>500</v>
      </c>
      <c r="D21" s="48">
        <v>200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</row>
    <row r="22" spans="1:10" s="3" customFormat="1" ht="22" x14ac:dyDescent="0.3">
      <c r="A22" s="47" t="s">
        <v>52</v>
      </c>
      <c r="B22" s="49" t="s">
        <v>26</v>
      </c>
      <c r="C22" s="45">
        <v>1000</v>
      </c>
      <c r="D22" s="45">
        <v>1000</v>
      </c>
      <c r="E22" s="45">
        <v>1000</v>
      </c>
      <c r="F22" s="45">
        <v>1000</v>
      </c>
      <c r="G22" s="45">
        <v>1000</v>
      </c>
      <c r="H22" s="45">
        <v>1000</v>
      </c>
      <c r="I22" s="45">
        <v>1000</v>
      </c>
      <c r="J22" s="45">
        <v>1000</v>
      </c>
    </row>
    <row r="23" spans="1:10" s="3" customFormat="1" ht="22" x14ac:dyDescent="0.3">
      <c r="A23" s="47" t="s">
        <v>52</v>
      </c>
      <c r="B23" s="49" t="s">
        <v>47</v>
      </c>
      <c r="C23" s="45">
        <v>200</v>
      </c>
      <c r="D23" s="45">
        <v>200</v>
      </c>
      <c r="E23" s="45">
        <v>200</v>
      </c>
      <c r="F23" s="45">
        <v>200</v>
      </c>
      <c r="G23" s="45">
        <v>200</v>
      </c>
      <c r="H23" s="45">
        <v>200</v>
      </c>
      <c r="I23" s="45">
        <v>200</v>
      </c>
      <c r="J23" s="45">
        <v>200</v>
      </c>
    </row>
    <row r="24" spans="1:10" s="3" customFormat="1" ht="22" x14ac:dyDescent="0.3">
      <c r="A24" s="47" t="s">
        <v>52</v>
      </c>
      <c r="B24" s="49" t="s">
        <v>20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</row>
    <row r="25" spans="1:10" s="3" customFormat="1" ht="22" x14ac:dyDescent="0.3">
      <c r="A25" s="50" t="s">
        <v>52</v>
      </c>
      <c r="B25" s="50" t="s">
        <v>85</v>
      </c>
      <c r="C25" s="48"/>
      <c r="D25" s="48"/>
      <c r="E25" s="48">
        <v>498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</row>
    <row r="26" spans="1:10" s="3" customFormat="1" ht="22" x14ac:dyDescent="0.3">
      <c r="A26" s="47" t="s">
        <v>52</v>
      </c>
      <c r="B26" s="47" t="s">
        <v>31</v>
      </c>
      <c r="C26" s="48">
        <v>0</v>
      </c>
      <c r="D26" s="48">
        <v>500</v>
      </c>
      <c r="E26" s="48"/>
      <c r="F26" s="48">
        <v>1000</v>
      </c>
      <c r="G26" s="48">
        <v>1000</v>
      </c>
      <c r="H26" s="48">
        <v>1000</v>
      </c>
      <c r="I26" s="48">
        <v>1000</v>
      </c>
      <c r="J26" s="48">
        <v>1000</v>
      </c>
    </row>
    <row r="27" spans="1:10" ht="22" x14ac:dyDescent="0.3">
      <c r="A27" s="40" t="s">
        <v>78</v>
      </c>
      <c r="B27" s="40" t="s">
        <v>0</v>
      </c>
      <c r="C27" s="13">
        <f>SUMIF(Table32[[#Data],[#Totals],[Movement]],"Credit", Table32[[#Data],[#Totals],[2024-05-01]])-SUMIF(Table32[[#Data],[#Totals],[Movement]],"Debit", Table32[[#Data],[#Totals],[2024-05-01]])</f>
        <v>538</v>
      </c>
      <c r="D27" s="13">
        <f>SUMIF(Table32[[#Data],[#Totals],[Movement]],"Credit", Table32[[#Data],[#Totals],[2024-06-01]])-SUMIF(Table32[[#Data],[#Totals],[Movement]],"Debit", Table32[[#Data],[#Totals],[2024-06-01]])</f>
        <v>1502</v>
      </c>
      <c r="E27" s="13">
        <f>SUMIF(Table32[[#Data],[#Totals],[Movement]],"Credit", Table32[[#Data],[#Totals],[2024-07-01]])-SUMIF(Table32[[#Data],[#Totals],[Movement]],"Debit", Table32[[#Data],[#Totals],[2024-07-01]])</f>
        <v>29</v>
      </c>
      <c r="F27" s="13">
        <f>SUMIF(Table32[[#Data],[#Totals],[Movement]],"Credit", Table32[[#Data],[#Totals],[2024-08-01]])-SUMIF(Table32[[#Data],[#Totals],[Movement]],"Debit", Table32[[#Data],[#Totals],[2024-08-01]])</f>
        <v>77</v>
      </c>
      <c r="G27" s="13">
        <f>SUMIF(Table32[[#Data],[#Totals],[Movement]],"Credit", Table32[[#Data],[#Totals],[2024-09-01]])-SUMIF(Table32[[#Data],[#Totals],[Movement]],"Debit", Table32[[#Data],[#Totals],[2024-09-01]])</f>
        <v>77</v>
      </c>
      <c r="H27" s="13">
        <f>SUMIF(Table32[[#Data],[#Totals],[Movement]],"Credit", Table32[[#Data],[#Totals],[2024-10-01]])-SUMIF(Table32[[#Data],[#Totals],[Movement]],"Debit", Table32[[#Data],[#Totals],[2024-10-01]])</f>
        <v>77</v>
      </c>
      <c r="I27" s="13">
        <f>SUMIF(Table32[[#Data],[#Totals],[Movement]],"Credit", Table32[[#Data],[#Totals],[2024-11-01]])-SUMIF(Table32[[#Data],[#Totals],[Movement]],"Debit", Table32[[#Data],[#Totals],[2024-11-01]])</f>
        <v>77</v>
      </c>
      <c r="J27" s="13">
        <f>SUMIF(Table32[[#Data],[#Totals],[Movement]],"Credit", Table32[[#Data],[#Totals],[2024-12-01]])-SUMIF(Table32[[#Data],[#Totals],[Movement]],"Debit", Table32[[#Data],[#Totals],[2024-12-01]])</f>
        <v>77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248B-6FB7-9840-B24A-F55E5AA459E3}">
  <dimension ref="A1:K8"/>
  <sheetViews>
    <sheetView showGridLines="0" workbookViewId="0">
      <selection activeCell="G35" sqref="G35"/>
    </sheetView>
  </sheetViews>
  <sheetFormatPr baseColWidth="10" defaultRowHeight="16" x14ac:dyDescent="0.2"/>
  <cols>
    <col min="2" max="2" width="27.6640625" customWidth="1"/>
    <col min="3" max="3" width="20" hidden="1" customWidth="1"/>
    <col min="4" max="4" width="15.1640625" style="1" hidden="1" customWidth="1"/>
    <col min="5" max="5" width="15.1640625" style="1" bestFit="1" customWidth="1"/>
    <col min="6" max="11" width="15.1640625" bestFit="1" customWidth="1"/>
  </cols>
  <sheetData>
    <row r="1" spans="1:11" ht="17" thickBot="1" x14ac:dyDescent="0.25">
      <c r="A1" s="6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</row>
    <row r="2" spans="1:11" s="2" customFormat="1" ht="22" x14ac:dyDescent="0.3">
      <c r="A2" s="51" t="s">
        <v>51</v>
      </c>
      <c r="B2" s="51" t="s">
        <v>38</v>
      </c>
      <c r="C2" s="30">
        <v>0</v>
      </c>
      <c r="D2" s="30"/>
      <c r="E2" s="30">
        <v>2200</v>
      </c>
      <c r="F2" s="30">
        <v>2200</v>
      </c>
      <c r="G2" s="30">
        <v>2200</v>
      </c>
      <c r="H2" s="30">
        <v>2200</v>
      </c>
      <c r="I2" s="30">
        <v>2200</v>
      </c>
      <c r="J2" s="30">
        <v>2200</v>
      </c>
    </row>
    <row r="3" spans="1:11" s="2" customFormat="1" ht="22" x14ac:dyDescent="0.3">
      <c r="A3" s="51" t="s">
        <v>51</v>
      </c>
      <c r="B3" s="51" t="s">
        <v>81</v>
      </c>
      <c r="C3" s="30">
        <v>0</v>
      </c>
      <c r="D3" s="30"/>
      <c r="E3" s="30">
        <v>1000</v>
      </c>
      <c r="F3" s="30">
        <v>1000</v>
      </c>
      <c r="G3" s="30">
        <v>1000</v>
      </c>
      <c r="H3" s="30">
        <v>1000</v>
      </c>
      <c r="I3" s="30">
        <v>1000</v>
      </c>
      <c r="J3" s="30">
        <v>1000</v>
      </c>
    </row>
    <row r="4" spans="1:11" s="3" customFormat="1" ht="22" x14ac:dyDescent="0.3">
      <c r="A4" s="47" t="s">
        <v>52</v>
      </c>
      <c r="B4" s="47" t="s">
        <v>14</v>
      </c>
      <c r="C4" s="48">
        <v>0</v>
      </c>
      <c r="D4" s="48"/>
      <c r="E4" s="48">
        <v>1500</v>
      </c>
      <c r="F4" s="48">
        <v>1500</v>
      </c>
      <c r="G4" s="48">
        <v>1500</v>
      </c>
      <c r="H4" s="48">
        <v>1500</v>
      </c>
      <c r="I4" s="48">
        <v>1500</v>
      </c>
      <c r="J4" s="48">
        <v>1500</v>
      </c>
      <c r="K4" s="7"/>
    </row>
    <row r="5" spans="1:11" s="3" customFormat="1" ht="22" x14ac:dyDescent="0.3">
      <c r="A5" s="47" t="s">
        <v>52</v>
      </c>
      <c r="B5" s="47" t="s">
        <v>82</v>
      </c>
      <c r="C5" s="48">
        <v>0</v>
      </c>
      <c r="D5" s="48"/>
      <c r="E5" s="48">
        <v>500</v>
      </c>
      <c r="F5" s="48">
        <v>500</v>
      </c>
      <c r="G5" s="48">
        <v>500</v>
      </c>
      <c r="H5" s="48">
        <v>500</v>
      </c>
      <c r="I5" s="48">
        <v>500</v>
      </c>
      <c r="J5" s="48">
        <v>500</v>
      </c>
    </row>
    <row r="6" spans="1:11" s="3" customFormat="1" ht="22" x14ac:dyDescent="0.3">
      <c r="A6" s="47" t="s">
        <v>52</v>
      </c>
      <c r="B6" s="50" t="s">
        <v>26</v>
      </c>
      <c r="C6" s="48">
        <v>0</v>
      </c>
      <c r="D6" s="48"/>
      <c r="E6" s="48">
        <v>500</v>
      </c>
      <c r="F6" s="48">
        <v>500</v>
      </c>
      <c r="G6" s="48">
        <v>500</v>
      </c>
      <c r="H6" s="48">
        <v>500</v>
      </c>
      <c r="I6" s="48">
        <v>500</v>
      </c>
      <c r="J6" s="48">
        <v>500</v>
      </c>
    </row>
    <row r="7" spans="1:11" s="3" customFormat="1" ht="22" x14ac:dyDescent="0.3">
      <c r="A7" s="47" t="s">
        <v>52</v>
      </c>
      <c r="B7" s="50" t="s">
        <v>83</v>
      </c>
      <c r="C7" s="48">
        <v>0</v>
      </c>
      <c r="D7" s="48"/>
      <c r="E7" s="48">
        <v>500</v>
      </c>
      <c r="F7" s="48">
        <v>500</v>
      </c>
      <c r="G7" s="48">
        <v>500</v>
      </c>
      <c r="H7" s="48">
        <v>500</v>
      </c>
      <c r="I7" s="48">
        <v>500</v>
      </c>
      <c r="J7" s="48">
        <v>500</v>
      </c>
    </row>
    <row r="8" spans="1:11" ht="22" x14ac:dyDescent="0.3">
      <c r="A8" s="40" t="s">
        <v>78</v>
      </c>
      <c r="B8" s="40" t="s">
        <v>0</v>
      </c>
      <c r="C8" s="13">
        <f>SUMIF(Table327[[#Data],[#Totals],[Movement]],"Credit", Table327[[#Data],[#Totals],[2024-05-01]])-SUMIF(Table327[[#Data],[#Totals],[Movement]],"Debit", Table327[[#Data],[#Totals],[2024-05-01]])</f>
        <v>0</v>
      </c>
      <c r="D8" s="13">
        <f>SUMIF(Table327[[#Data],[#Totals],[Movement]],"Credit", Table327[[#Data],[#Totals],[2024-06-01]])-SUMIF(Table327[[#Data],[#Totals],[Movement]],"Debit", Table327[[#Data],[#Totals],[2024-06-01]])</f>
        <v>0</v>
      </c>
      <c r="E8" s="13">
        <f>SUMIF(Table327[[#Data],[#Totals],[Movement]],"Credit", Table327[[#Data],[#Totals],[2024-07-01]])-SUMIF(Table327[[#Data],[#Totals],[Movement]],"Debit", Table327[[#Data],[#Totals],[2024-07-01]])</f>
        <v>200</v>
      </c>
      <c r="F8" s="13">
        <f>SUMIF(Table327[[#Data],[#Totals],[Movement]],"Credit", Table327[[#Data],[#Totals],[2024-08-01]])-SUMIF(Table327[[#Data],[#Totals],[Movement]],"Debit", Table327[[#Data],[#Totals],[2024-08-01]])</f>
        <v>200</v>
      </c>
      <c r="G8" s="13">
        <f>SUMIF(Table327[[#Data],[#Totals],[Movement]],"Credit", Table327[[#Data],[#Totals],[2024-09-01]])-SUMIF(Table327[[#Data],[#Totals],[Movement]],"Debit", Table327[[#Data],[#Totals],[2024-09-01]])</f>
        <v>200</v>
      </c>
      <c r="H8" s="13">
        <f>SUMIF(Table327[[#Data],[#Totals],[Movement]],"Credit", Table327[[#Data],[#Totals],[2024-10-01]])-SUMIF(Table327[[#Data],[#Totals],[Movement]],"Debit", Table327[[#Data],[#Totals],[2024-10-01]])</f>
        <v>200</v>
      </c>
      <c r="I8" s="13">
        <f>SUMIF(Table327[[#Data],[#Totals],[Movement]],"Credit", Table327[[#Data],[#Totals],[2024-11-01]])-SUMIF(Table327[[#Data],[#Totals],[Movement]],"Debit", Table327[[#Data],[#Totals],[2024-11-01]])</f>
        <v>200</v>
      </c>
      <c r="J8" s="13">
        <f>SUMIF(Table327[[#Data],[#Totals],[Movement]],"Credit", Table327[[#Data],[#Totals],[2024-12-01]])-SUMIF(Table327[[#Data],[#Totals],[Movement]],"Debit", Table327[[#Data],[#Totals],[2024-12-01]])</f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5A-65C3-DE4D-964E-13540A60950B}">
  <dimension ref="A1:J10"/>
  <sheetViews>
    <sheetView showGridLines="0" workbookViewId="0">
      <selection activeCell="H31" sqref="H31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</row>
    <row r="2" spans="1:10" s="2" customFormat="1" ht="22" x14ac:dyDescent="0.3">
      <c r="A2" s="52" t="s">
        <v>51</v>
      </c>
      <c r="B2" s="52" t="s">
        <v>38</v>
      </c>
      <c r="C2" s="30">
        <v>11000</v>
      </c>
      <c r="D2" s="30">
        <v>11000</v>
      </c>
      <c r="E2" s="30">
        <v>8800</v>
      </c>
      <c r="F2" s="30">
        <v>8800</v>
      </c>
      <c r="G2" s="30">
        <v>8800</v>
      </c>
      <c r="H2" s="30">
        <v>8800</v>
      </c>
      <c r="I2" s="30">
        <v>8800</v>
      </c>
      <c r="J2" s="30">
        <v>8800</v>
      </c>
    </row>
    <row r="3" spans="1:10" s="3" customFormat="1" ht="22" x14ac:dyDescent="0.3">
      <c r="A3" s="47" t="s">
        <v>52</v>
      </c>
      <c r="B3" s="47" t="s">
        <v>9</v>
      </c>
      <c r="C3" s="48">
        <v>2000</v>
      </c>
      <c r="D3" s="48">
        <v>2000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</row>
    <row r="4" spans="1:10" s="3" customFormat="1" ht="22" x14ac:dyDescent="0.3">
      <c r="A4" s="47" t="s">
        <v>52</v>
      </c>
      <c r="B4" s="49" t="s">
        <v>0</v>
      </c>
      <c r="C4" s="45">
        <v>7700</v>
      </c>
      <c r="D4" s="45">
        <v>7700</v>
      </c>
      <c r="E4" s="45">
        <v>7500</v>
      </c>
      <c r="F4" s="45">
        <v>7500</v>
      </c>
      <c r="G4" s="45">
        <v>7500</v>
      </c>
      <c r="H4" s="45">
        <v>7500</v>
      </c>
      <c r="I4" s="45">
        <v>7500</v>
      </c>
      <c r="J4" s="45">
        <v>7500</v>
      </c>
    </row>
    <row r="5" spans="1:10" s="46" customFormat="1" ht="22" x14ac:dyDescent="0.3">
      <c r="A5" s="47" t="s">
        <v>52</v>
      </c>
      <c r="B5" s="49" t="s">
        <v>23</v>
      </c>
      <c r="C5" s="45">
        <v>110</v>
      </c>
      <c r="D5" s="45">
        <v>110</v>
      </c>
      <c r="E5" s="45">
        <v>110</v>
      </c>
      <c r="F5" s="45">
        <v>110</v>
      </c>
      <c r="G5" s="45">
        <v>110</v>
      </c>
      <c r="H5" s="45">
        <v>110</v>
      </c>
      <c r="I5" s="45">
        <v>110</v>
      </c>
      <c r="J5" s="45">
        <v>110</v>
      </c>
    </row>
    <row r="6" spans="1:10" s="46" customFormat="1" ht="22" x14ac:dyDescent="0.3">
      <c r="A6" s="47" t="s">
        <v>52</v>
      </c>
      <c r="B6" s="44" t="s">
        <v>84</v>
      </c>
      <c r="C6" s="45">
        <v>900</v>
      </c>
      <c r="D6" s="45">
        <v>900</v>
      </c>
      <c r="E6" s="45">
        <v>900</v>
      </c>
      <c r="F6" s="45">
        <v>900</v>
      </c>
      <c r="G6" s="45">
        <v>900</v>
      </c>
      <c r="H6" s="45">
        <v>900</v>
      </c>
      <c r="I6" s="45">
        <v>900</v>
      </c>
      <c r="J6" s="45">
        <v>900</v>
      </c>
    </row>
    <row r="7" spans="1:10" s="3" customFormat="1" ht="22" x14ac:dyDescent="0.3">
      <c r="A7" s="47" t="s">
        <v>52</v>
      </c>
      <c r="B7" s="49" t="s">
        <v>19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</row>
    <row r="8" spans="1:10" s="3" customFormat="1" ht="22" x14ac:dyDescent="0.3">
      <c r="A8" s="47" t="s">
        <v>52</v>
      </c>
      <c r="B8" s="47" t="s">
        <v>16</v>
      </c>
      <c r="C8" s="48">
        <v>0</v>
      </c>
      <c r="D8" s="48">
        <v>200</v>
      </c>
      <c r="E8" s="48">
        <v>200</v>
      </c>
      <c r="F8" s="48">
        <v>200</v>
      </c>
      <c r="G8" s="48">
        <v>200</v>
      </c>
      <c r="H8" s="48">
        <v>200</v>
      </c>
      <c r="I8" s="48">
        <v>200</v>
      </c>
      <c r="J8" s="48">
        <v>200</v>
      </c>
    </row>
    <row r="9" spans="1:10" s="3" customFormat="1" ht="22" x14ac:dyDescent="0.3">
      <c r="A9" s="47" t="s">
        <v>52</v>
      </c>
      <c r="B9" s="47" t="s">
        <v>25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</row>
    <row r="10" spans="1:10" s="55" customFormat="1" ht="22" x14ac:dyDescent="0.3">
      <c r="A10" s="53" t="s">
        <v>78</v>
      </c>
      <c r="B10" s="53" t="s">
        <v>17</v>
      </c>
      <c r="C10" s="54">
        <f>SUMIF(Table325[[Movement]:[Movement]],"Credit", Table325[2024-05-01])-SUMIF(Table325[[Movement]:[Movement]],"Debit",Table325[2024-05-01])</f>
        <v>290</v>
      </c>
      <c r="D10" s="54">
        <f>SUMIF(Table325[[Movement]:[Movement]],"Credit", Table325[2024-06-01])-SUMIF(Table325[[Movement]:[Movement]],"Debit",Table325[2024-06-01])</f>
        <v>90</v>
      </c>
      <c r="E10" s="54">
        <f>SUMIF(Table325[[Movement]:[Movement]],"Credit", Table325[2024-07-01])-SUMIF(Table325[[Movement]:[Movement]],"Debit",Table325[2024-07-01])</f>
        <v>90</v>
      </c>
      <c r="F10" s="54">
        <f>SUMIF(Table325[[Movement]:[Movement]],"Credit", Table325[2024-08-01])-SUMIF(Table325[[Movement]:[Movement]],"Debit",Table325[2024-08-01])</f>
        <v>90</v>
      </c>
      <c r="G10" s="54">
        <f>SUMIF(Table325[[Movement]:[Movement]],"Credit", Table325[2024-09-01])-SUMIF(Table325[[Movement]:[Movement]],"Debit",Table325[2024-09-01])</f>
        <v>90</v>
      </c>
      <c r="H10" s="54">
        <f>SUMIF(Table325[[Movement]:[Movement]],"Credit", Table325[2024-10-01])-SUMIF(Table325[[Movement]:[Movement]],"Debit",Table325[2024-10-01])</f>
        <v>90</v>
      </c>
      <c r="I10" s="54">
        <f>SUMIF(Table325[[Movement]:[Movement]],"Credit", Table325[2024-11-01])-SUMIF(Table325[[Movement]:[Movement]],"Debit",Table325[2024-11-01])</f>
        <v>90</v>
      </c>
      <c r="J10" s="54">
        <f>SUMIF(Table325[[Movement]:[Movement]],"Credit", Table325[2024-12-01])-SUMIF(Table325[[Movement]:[Movement]],"Debit",Table325[2024-12-01])</f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F0D-72A7-F24E-9B15-0D8218302531}">
  <dimension ref="A1:J5"/>
  <sheetViews>
    <sheetView showGridLines="0" workbookViewId="0">
      <selection activeCell="E3" sqref="E3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3" width="16" style="1" hidden="1" customWidth="1"/>
    <col min="4" max="4" width="15.1640625" style="1" hidden="1" customWidth="1"/>
    <col min="5" max="10" width="15.1640625" bestFit="1" customWidth="1"/>
  </cols>
  <sheetData>
    <row r="1" spans="1:10" ht="17" thickBot="1" x14ac:dyDescent="0.25">
      <c r="A1" s="5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</row>
    <row r="2" spans="1:10" s="2" customFormat="1" ht="22" x14ac:dyDescent="0.3">
      <c r="A2" s="16" t="s">
        <v>51</v>
      </c>
      <c r="B2" s="16" t="s">
        <v>0</v>
      </c>
      <c r="C2" s="30">
        <v>500</v>
      </c>
      <c r="D2" s="30">
        <v>1500</v>
      </c>
      <c r="E2" s="30">
        <v>250</v>
      </c>
      <c r="F2" s="30">
        <v>500</v>
      </c>
      <c r="G2" s="30">
        <v>500</v>
      </c>
      <c r="H2" s="30">
        <v>500</v>
      </c>
      <c r="I2" s="30">
        <v>500</v>
      </c>
      <c r="J2" s="30">
        <v>500</v>
      </c>
    </row>
    <row r="3" spans="1:10" s="4" customFormat="1" ht="22" x14ac:dyDescent="0.3">
      <c r="A3" s="17" t="s">
        <v>52</v>
      </c>
      <c r="B3" s="9" t="s">
        <v>11</v>
      </c>
      <c r="C3" s="10">
        <v>0</v>
      </c>
      <c r="D3" s="10">
        <v>200</v>
      </c>
      <c r="E3" s="10">
        <v>200</v>
      </c>
      <c r="F3" s="10">
        <v>200</v>
      </c>
      <c r="G3" s="10">
        <v>200</v>
      </c>
      <c r="H3" s="10">
        <v>200</v>
      </c>
      <c r="I3" s="10">
        <v>200</v>
      </c>
      <c r="J3" s="10">
        <v>200</v>
      </c>
    </row>
    <row r="4" spans="1:10" s="4" customFormat="1" ht="22" x14ac:dyDescent="0.3">
      <c r="A4" s="17" t="s">
        <v>52</v>
      </c>
      <c r="B4" s="11" t="s">
        <v>12</v>
      </c>
      <c r="C4" s="12">
        <v>0</v>
      </c>
      <c r="D4" s="12">
        <v>230</v>
      </c>
      <c r="E4" s="12">
        <v>230</v>
      </c>
      <c r="F4" s="12">
        <v>230</v>
      </c>
      <c r="G4" s="12">
        <v>230</v>
      </c>
      <c r="H4" s="12">
        <v>230</v>
      </c>
      <c r="I4" s="12">
        <v>230</v>
      </c>
      <c r="J4" s="12">
        <v>230</v>
      </c>
    </row>
    <row r="5" spans="1:10" ht="22" x14ac:dyDescent="0.3">
      <c r="A5" s="14" t="s">
        <v>78</v>
      </c>
      <c r="B5" s="40" t="s">
        <v>10</v>
      </c>
      <c r="C5" s="13">
        <f>SUMIF(Table323[[Movement]:[Movement]],"Credit", Table323[2024-05-01])-SUMIF(Table323[[Movement]:[Movement]],"Debit", Table323[2024-05-01])</f>
        <v>500</v>
      </c>
      <c r="D5" s="13">
        <f>SUMIF(Table323[[Movement]:[Movement]],"Credit", Table323[2024-06-01])-SUMIF(Table323[[Movement]:[Movement]],"Debit", Table323[2024-06-01])</f>
        <v>1070</v>
      </c>
      <c r="E5" s="13">
        <f>SUMIF(Table323[[Movement]:[Movement]],"Credit", Table323[2024-07-01])-SUMIF(Table323[[Movement]:[Movement]],"Debit", Table323[2024-07-01])</f>
        <v>-180</v>
      </c>
      <c r="F5" s="13">
        <f>SUMIF(Table323[[Movement]:[Movement]],"Credit", Table323[2024-08-01])-SUMIF(Table323[[Movement]:[Movement]],"Debit", Table323[2024-08-01])</f>
        <v>70</v>
      </c>
      <c r="G5" s="13">
        <f>SUMIF(Table323[[Movement]:[Movement]],"Credit", Table323[2024-09-01])-SUMIF(Table323[[Movement]:[Movement]],"Debit", Table323[2024-09-01])</f>
        <v>70</v>
      </c>
      <c r="H5" s="13">
        <f>SUMIF(Table323[[Movement]:[Movement]],"Credit", Table323[2024-10-01])-SUMIF(Table323[[Movement]:[Movement]],"Debit", Table323[2024-10-01])</f>
        <v>70</v>
      </c>
      <c r="I5" s="13">
        <f>SUMIF(Table323[[Movement]:[Movement]],"Credit", Table323[2024-11-01])-SUMIF(Table323[[Movement]:[Movement]],"Debit", Table323[2024-11-01])</f>
        <v>70</v>
      </c>
      <c r="J5" s="13">
        <f>SUMIF(Table323[[Movement]:[Movement]],"Credit", Table323[2024-12-01])-SUMIF(Table323[[Movement]:[Movement]],"Debit", Table323[2024-12-01])</f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F070-2FBF-4D4F-8695-FA36A20F8B06}">
  <dimension ref="A1:AH8"/>
  <sheetViews>
    <sheetView showGridLines="0" workbookViewId="0">
      <selection activeCell="E20" sqref="E20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hidden="1" customWidth="1"/>
    <col min="5" max="22" width="17" customWidth="1"/>
    <col min="23" max="34" width="15.33203125" customWidth="1"/>
  </cols>
  <sheetData>
    <row r="1" spans="1:34" ht="17" thickBot="1" x14ac:dyDescent="0.25">
      <c r="A1" s="5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  <c r="K1" s="21" t="s">
        <v>53</v>
      </c>
      <c r="L1" s="21" t="s">
        <v>54</v>
      </c>
      <c r="M1" s="21" t="s">
        <v>55</v>
      </c>
      <c r="N1" s="21" t="s">
        <v>56</v>
      </c>
      <c r="O1" s="33" t="s">
        <v>58</v>
      </c>
      <c r="P1" s="33" t="s">
        <v>57</v>
      </c>
      <c r="Q1" s="33" t="s">
        <v>59</v>
      </c>
      <c r="R1" s="33" t="s">
        <v>60</v>
      </c>
      <c r="S1" s="33" t="s">
        <v>61</v>
      </c>
      <c r="T1" s="33" t="s">
        <v>62</v>
      </c>
      <c r="U1" s="33" t="s">
        <v>63</v>
      </c>
      <c r="V1" s="33" t="s">
        <v>64</v>
      </c>
      <c r="W1" s="33" t="s">
        <v>65</v>
      </c>
      <c r="X1" s="33" t="s">
        <v>66</v>
      </c>
      <c r="Y1" s="33" t="s">
        <v>67</v>
      </c>
      <c r="Z1" s="33" t="s">
        <v>68</v>
      </c>
      <c r="AA1" s="33" t="s">
        <v>76</v>
      </c>
      <c r="AB1" s="33" t="s">
        <v>69</v>
      </c>
      <c r="AC1" s="33" t="s">
        <v>70</v>
      </c>
      <c r="AD1" s="33" t="s">
        <v>71</v>
      </c>
      <c r="AE1" s="33" t="s">
        <v>72</v>
      </c>
      <c r="AF1" s="33" t="s">
        <v>73</v>
      </c>
      <c r="AG1" s="33" t="s">
        <v>74</v>
      </c>
      <c r="AH1" s="33" t="s">
        <v>75</v>
      </c>
    </row>
    <row r="2" spans="1:34" ht="22" x14ac:dyDescent="0.3">
      <c r="A2" s="59" t="s">
        <v>51</v>
      </c>
      <c r="B2" s="16" t="s">
        <v>37</v>
      </c>
      <c r="C2" s="8">
        <v>1000</v>
      </c>
      <c r="D2" s="8">
        <v>1000</v>
      </c>
      <c r="E2" s="8">
        <v>500</v>
      </c>
      <c r="F2" s="8">
        <v>500</v>
      </c>
      <c r="G2" s="8">
        <v>500</v>
      </c>
      <c r="H2" s="8">
        <v>500</v>
      </c>
      <c r="I2" s="8">
        <v>500</v>
      </c>
      <c r="J2" s="8">
        <v>500</v>
      </c>
      <c r="K2" s="8">
        <v>1000</v>
      </c>
      <c r="L2" s="8">
        <v>1000</v>
      </c>
      <c r="M2" s="8">
        <v>1000</v>
      </c>
      <c r="N2" s="8">
        <v>1000</v>
      </c>
      <c r="O2" s="8">
        <v>1000</v>
      </c>
      <c r="P2" s="8">
        <v>1000</v>
      </c>
      <c r="Q2" s="8">
        <v>1000</v>
      </c>
      <c r="R2" s="8">
        <v>1000</v>
      </c>
      <c r="S2" s="8">
        <v>1000</v>
      </c>
      <c r="T2" s="8">
        <v>1000</v>
      </c>
      <c r="U2" s="8">
        <v>1000</v>
      </c>
      <c r="V2" s="8">
        <v>1000</v>
      </c>
      <c r="W2" s="8">
        <v>1000</v>
      </c>
      <c r="X2" s="8">
        <v>1000</v>
      </c>
      <c r="Y2" s="8">
        <v>1000</v>
      </c>
      <c r="Z2" s="8">
        <v>1000</v>
      </c>
      <c r="AA2" s="8">
        <v>1000</v>
      </c>
      <c r="AB2" s="8">
        <v>1000</v>
      </c>
      <c r="AC2" s="8">
        <v>1000</v>
      </c>
      <c r="AD2" s="8">
        <v>1000</v>
      </c>
      <c r="AE2" s="8">
        <v>1000</v>
      </c>
      <c r="AF2" s="8">
        <v>1000</v>
      </c>
      <c r="AG2" s="8"/>
      <c r="AH2" s="8"/>
    </row>
    <row r="3" spans="1:34" s="2" customFormat="1" ht="22" x14ac:dyDescent="0.3">
      <c r="A3" s="59" t="s">
        <v>51</v>
      </c>
      <c r="B3" s="16" t="s">
        <v>0</v>
      </c>
      <c r="C3" s="8">
        <v>1000</v>
      </c>
      <c r="D3" s="8">
        <v>1000</v>
      </c>
      <c r="E3" s="8">
        <v>1000</v>
      </c>
      <c r="F3" s="8">
        <v>1000</v>
      </c>
      <c r="G3" s="8">
        <v>1000</v>
      </c>
      <c r="H3" s="8">
        <v>1000</v>
      </c>
      <c r="I3" s="8">
        <v>1000</v>
      </c>
      <c r="J3" s="8">
        <v>1000</v>
      </c>
      <c r="K3" s="8">
        <v>5000</v>
      </c>
      <c r="L3" s="8">
        <v>5000</v>
      </c>
      <c r="M3" s="8">
        <v>5000</v>
      </c>
      <c r="N3" s="8">
        <v>5000</v>
      </c>
      <c r="O3" s="8">
        <v>5000</v>
      </c>
      <c r="P3" s="8">
        <v>5000</v>
      </c>
      <c r="Q3" s="8">
        <v>6000</v>
      </c>
      <c r="R3" s="8">
        <v>6000</v>
      </c>
      <c r="S3" s="8">
        <v>6000</v>
      </c>
      <c r="T3" s="8">
        <v>6000</v>
      </c>
      <c r="U3" s="8">
        <v>6000</v>
      </c>
      <c r="V3" s="8">
        <v>6000</v>
      </c>
      <c r="W3" s="8">
        <v>6000</v>
      </c>
      <c r="X3" s="8">
        <v>6000</v>
      </c>
      <c r="Y3" s="8">
        <v>6000</v>
      </c>
      <c r="Z3" s="8">
        <v>6000</v>
      </c>
      <c r="AA3" s="8">
        <v>6000</v>
      </c>
      <c r="AB3" s="8">
        <v>6000</v>
      </c>
      <c r="AC3" s="8">
        <v>6000</v>
      </c>
      <c r="AD3" s="8">
        <v>6000</v>
      </c>
      <c r="AE3" s="8">
        <v>6000</v>
      </c>
      <c r="AF3" s="8">
        <v>6000</v>
      </c>
      <c r="AG3" s="8"/>
      <c r="AH3" s="8"/>
    </row>
    <row r="4" spans="1:34" s="25" customFormat="1" ht="22" x14ac:dyDescent="0.3">
      <c r="A4" s="35" t="s">
        <v>52</v>
      </c>
      <c r="B4" s="22" t="s">
        <v>35</v>
      </c>
      <c r="C4" s="23">
        <v>10800</v>
      </c>
      <c r="D4" s="23">
        <v>5400</v>
      </c>
      <c r="E4" s="23">
        <v>5400</v>
      </c>
      <c r="F4" s="23">
        <v>5400</v>
      </c>
      <c r="G4" s="23">
        <v>5400</v>
      </c>
      <c r="H4" s="23">
        <v>5400</v>
      </c>
      <c r="I4" s="23"/>
      <c r="J4" s="23"/>
      <c r="K4" s="24">
        <v>5500</v>
      </c>
      <c r="L4" s="24">
        <v>5500</v>
      </c>
      <c r="M4" s="24">
        <v>5500</v>
      </c>
      <c r="N4" s="24">
        <v>5500</v>
      </c>
      <c r="O4" s="24">
        <v>5500</v>
      </c>
      <c r="P4" s="24">
        <v>5500</v>
      </c>
      <c r="Q4" s="24">
        <v>5500</v>
      </c>
      <c r="R4" s="24">
        <v>5500</v>
      </c>
      <c r="S4" s="24">
        <v>5500</v>
      </c>
      <c r="T4" s="24">
        <v>5500</v>
      </c>
      <c r="U4" s="24"/>
      <c r="V4" s="24"/>
      <c r="W4" s="24">
        <v>5600</v>
      </c>
      <c r="X4" s="24">
        <v>5600</v>
      </c>
      <c r="Y4" s="24">
        <v>5600</v>
      </c>
      <c r="Z4" s="24">
        <v>5600</v>
      </c>
      <c r="AA4" s="24">
        <v>5600</v>
      </c>
      <c r="AB4" s="24">
        <v>5600</v>
      </c>
      <c r="AC4" s="24">
        <v>5600</v>
      </c>
      <c r="AD4" s="24">
        <v>5600</v>
      </c>
      <c r="AE4" s="24">
        <v>5600</v>
      </c>
      <c r="AF4" s="24">
        <v>5600</v>
      </c>
      <c r="AG4" s="24"/>
      <c r="AH4" s="24"/>
    </row>
    <row r="5" spans="1:34" s="20" customFormat="1" ht="22" x14ac:dyDescent="0.3">
      <c r="A5" s="35" t="s">
        <v>52</v>
      </c>
      <c r="B5" s="18" t="s">
        <v>27</v>
      </c>
      <c r="C5" s="19">
        <v>0</v>
      </c>
      <c r="D5" s="19"/>
      <c r="E5" s="19"/>
      <c r="F5" s="19">
        <v>500</v>
      </c>
      <c r="G5" s="19"/>
      <c r="H5" s="19"/>
      <c r="I5" s="19"/>
      <c r="J5" s="19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 spans="1:34" s="20" customFormat="1" ht="22" x14ac:dyDescent="0.3">
      <c r="A6" s="35" t="s">
        <v>52</v>
      </c>
      <c r="B6" s="18" t="s">
        <v>34</v>
      </c>
      <c r="C6" s="19">
        <v>500</v>
      </c>
      <c r="D6" s="19"/>
      <c r="E6" s="19"/>
      <c r="F6" s="19"/>
      <c r="G6" s="19"/>
      <c r="H6" s="19"/>
      <c r="I6" s="19"/>
      <c r="J6" s="19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 s="20" customFormat="1" ht="22" x14ac:dyDescent="0.3">
      <c r="A7" s="35" t="s">
        <v>52</v>
      </c>
      <c r="B7" s="18" t="s">
        <v>36</v>
      </c>
      <c r="C7" s="19"/>
      <c r="D7" s="19"/>
      <c r="E7" s="19"/>
      <c r="F7" s="19"/>
      <c r="G7" s="19"/>
      <c r="H7" s="19"/>
      <c r="I7" s="19"/>
      <c r="J7" s="19"/>
      <c r="K7" s="26">
        <v>22000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>
        <v>23000</v>
      </c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22" x14ac:dyDescent="0.3">
      <c r="A8" s="31" t="s">
        <v>78</v>
      </c>
      <c r="B8" s="40" t="s">
        <v>26</v>
      </c>
      <c r="C8" s="13">
        <f>SUMIF(Table328[[Movement]:[Movement]],"Credit", Table328[2024-05-01])-SUMIF(Table328[[Movement]:[Movement]],"Debit", Table328[2024-05-01])</f>
        <v>-9300</v>
      </c>
      <c r="D8" s="13">
        <f>SUMIF(Table328[[Movement]:[Movement]],"Credit", Table328[2024-06-01])-SUMIF(Table328[[Movement]:[Movement]],"Debit", Table328[2024-06-01])</f>
        <v>-3400</v>
      </c>
      <c r="E8" s="13">
        <f>SUMIF(Table328[[Movement]:[Movement]],"Credit", Table328[2024-07-01])-SUMIF(Table328[[Movement]:[Movement]],"Debit", Table328[2024-07-01])</f>
        <v>-3900</v>
      </c>
      <c r="F8" s="13">
        <f>SUMIF(Table328[[Movement]:[Movement]],"Credit", Table328[2024-08-01])-SUMIF(Table328[[Movement]:[Movement]],"Debit", Table328[2024-08-01])</f>
        <v>-4400</v>
      </c>
      <c r="G8" s="13">
        <f>SUMIF(Table328[[Movement]:[Movement]],"Credit", Table328[2024-09-01])-SUMIF(Table328[[Movement]:[Movement]],"Debit", Table328[2024-09-01])</f>
        <v>-3900</v>
      </c>
      <c r="H8" s="13">
        <f>SUMIF(Table328[[Movement]:[Movement]],"Credit", Table328[2024-10-01])-SUMIF(Table328[[Movement]:[Movement]],"Debit", Table328[2024-10-01])</f>
        <v>-3900</v>
      </c>
      <c r="I8" s="13">
        <f>SUMIF(Table328[[Movement]:[Movement]],"Credit", Table328[2024-11-01])-SUMIF(Table328[[Movement]:[Movement]],"Debit", Table328[2024-11-01])</f>
        <v>1500</v>
      </c>
      <c r="J8" s="13">
        <f>SUMIF(Table328[[Movement]:[Movement]],"Credit", Table328[2024-12-01])-SUMIF(Table328[[Movement]:[Movement]],"Debit", Table328[2024-12-01])</f>
        <v>1500</v>
      </c>
      <c r="K8" s="13">
        <f>SUMIF(Table328[[Movement]:[Movement]],"Credit", Table328[2025-01-01])-SUMIF(Table328[[Movement]:[Movement]],"Debit", Table328[2025-01-01])</f>
        <v>-21500</v>
      </c>
      <c r="L8" s="13">
        <f>SUMIF(Table328[[Movement]:[Movement]],"Credit", Table328[2025-02-01])-SUMIF(Table328[[Movement]:[Movement]],"Debit", Table328[2025-02-01])</f>
        <v>500</v>
      </c>
      <c r="M8" s="13">
        <f>SUMIF(Table328[[Movement]:[Movement]],"Credit", Table328[2025-03-01])-SUMIF(Table328[[Movement]:[Movement]],"Debit", Table328[2025-03-01])</f>
        <v>500</v>
      </c>
      <c r="N8" s="13">
        <f>SUMIF(Table328[[Movement]:[Movement]],"Credit", Table328[2025-04-01])-SUMIF(Table328[[Movement]:[Movement]],"Debit", Table328[2025-04-01])</f>
        <v>500</v>
      </c>
      <c r="O8" s="13">
        <f>SUMIF(Table328[[Movement]:[Movement]],"Credit", Table328[2025-05-01])-SUMIF(Table328[[Movement]:[Movement]],"Debit", Table328[2025-05-01])</f>
        <v>500</v>
      </c>
      <c r="P8" s="13">
        <f>SUMIF(Table328[[Movement]:[Movement]],"Credit", Table328[2025-06-01])-SUMIF(Table328[[Movement]:[Movement]],"Debit", Table328[2025-06-01])</f>
        <v>500</v>
      </c>
      <c r="Q8" s="13">
        <f>SUMIF(Table328[[Movement]:[Movement]],"Credit", Table328[2025-07-01])-SUMIF(Table328[[Movement]:[Movement]],"Debit", Table328[2025-07-01])</f>
        <v>1500</v>
      </c>
      <c r="R8" s="13">
        <f>SUMIF(Table328[[Movement]:[Movement]],"Credit", Table328[2025-08-01])-SUMIF(Table328[[Movement]:[Movement]],"Debit", Table328[2025-08-01])</f>
        <v>1500</v>
      </c>
      <c r="S8" s="13">
        <f>SUMIF(Table328[[Movement]:[Movement]],"Credit", Table328[2025-09-01])-SUMIF(Table328[[Movement]:[Movement]],"Debit", Table328[2025-09-01])</f>
        <v>1500</v>
      </c>
      <c r="T8" s="13">
        <f>SUMIF(Table328[[Movement]:[Movement]],"Credit", Table328[2025-10-01])-SUMIF(Table328[[Movement]:[Movement]],"Debit", Table328[2025-10-01])</f>
        <v>1500</v>
      </c>
      <c r="U8" s="13">
        <f>SUMIF(Table328[[Movement]:[Movement]],"Credit", Table328[2025-11-01])-SUMIF(Table328[[Movement]:[Movement]],"Debit", Table328[2025-11-01])</f>
        <v>7000</v>
      </c>
      <c r="V8" s="13">
        <f>SUMIF(Table328[[Movement]:[Movement]],"Credit", Table328[2025-12-01])-SUMIF(Table328[[Movement]:[Movement]],"Debit", Table328[2025-12-01])</f>
        <v>7000</v>
      </c>
      <c r="W8" s="13">
        <f>SUMIF(Table328[[Movement]:[Movement]],"Credit", Table328[2026-01-01])-SUMIF(Table328[[Movement]:[Movement]],"Debit", Table328[2026-01-01])</f>
        <v>-21600</v>
      </c>
      <c r="X8" s="13">
        <f>SUMIF(Table328[[Movement]:[Movement]],"Credit", Table328[2026-02-01])-SUMIF(Table328[[Movement]:[Movement]],"Debit", Table328[2026-02-01])</f>
        <v>1400</v>
      </c>
      <c r="Y8" s="13">
        <f>SUMIF(Table328[[Movement]:[Movement]],"Credit", Table328[2026-03-01])-SUMIF(Table328[[Movement]:[Movement]],"Debit", Table328[2026-03-01])</f>
        <v>1400</v>
      </c>
      <c r="Z8" s="13">
        <f>SUMIF(Table328[[Movement]:[Movement]],"Credit", Table328[2026-04-01])-SUMIF(Table328[[Movement]:[Movement]],"Debit", Table328[2026-04-01])</f>
        <v>1400</v>
      </c>
      <c r="AA8" s="13">
        <f>SUMIF(Table328[[Movement]:[Movement]],"Credit", Table328[2026-05-01])-SUMIF(Table328[[Movement]:[Movement]],"Debit", Table328[2026-05-01])</f>
        <v>1400</v>
      </c>
      <c r="AB8" s="13">
        <f>SUMIF(Table328[[Movement]:[Movement]],"Credit", Table328[2026-06-01])-SUMIF(Table328[[Movement]:[Movement]],"Debit", Table328[2026-06-01])</f>
        <v>1400</v>
      </c>
      <c r="AC8" s="13">
        <f>SUMIF(Table328[[Movement]:[Movement]],"Credit", Table328[2026-07-01])-SUMIF(Table328[[Movement]:[Movement]],"Debit", Table328[2026-07-01])</f>
        <v>1400</v>
      </c>
      <c r="AD8" s="13">
        <f>SUMIF(Table328[[Movement]:[Movement]],"Credit", Table328[2026-08-01])-SUMIF(Table328[[Movement]:[Movement]],"Debit", Table328[2026-08-01])</f>
        <v>1400</v>
      </c>
      <c r="AE8" s="13">
        <f>SUMIF(Table328[[Movement]:[Movement]],"Credit", Table328[2026-09-01])-SUMIF(Table328[[Movement]:[Movement]],"Debit", Table328[2026-09-01])</f>
        <v>1400</v>
      </c>
      <c r="AF8" s="13">
        <f>SUMIF(Table328[[Movement]:[Movement]],"Credit", Table328[2026-10-01])-SUMIF(Table328[[Movement]:[Movement]],"Debit", Table328[2026-10-01])</f>
        <v>1400</v>
      </c>
      <c r="AG8" s="13">
        <f>SUMIF(Table328[[Movement]:[Movement]],"Credit", Table328[2026-11-01])-SUMIF(Table328[[Movement]:[Movement]],"Debit", Table328[2026-11-01])</f>
        <v>0</v>
      </c>
      <c r="AH8" s="13">
        <f>SUMIF(Table328[[Movement]:[Movement]],"Credit", Table328[2026-12-01])-SUMIF(Table328[[Movement]:[Movement]],"Debit", Table328[2026-12-01])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CB-B31C-F442-8DCF-E64A8A781A93}">
  <dimension ref="A1:J4"/>
  <sheetViews>
    <sheetView workbookViewId="0">
      <selection activeCell="C1" sqref="C1:D1048576"/>
    </sheetView>
  </sheetViews>
  <sheetFormatPr baseColWidth="10" defaultRowHeight="16" x14ac:dyDescent="0.2"/>
  <cols>
    <col min="1" max="1" width="12.1640625" customWidth="1"/>
    <col min="2" max="2" width="34.83203125" customWidth="1"/>
    <col min="3" max="4" width="18.5" hidden="1" customWidth="1"/>
    <col min="5" max="10" width="18.5" customWidth="1"/>
  </cols>
  <sheetData>
    <row r="1" spans="1:10" ht="17" thickBot="1" x14ac:dyDescent="0.25">
      <c r="A1" s="41" t="s">
        <v>24</v>
      </c>
      <c r="B1" s="42" t="s">
        <v>50</v>
      </c>
      <c r="C1" s="34" t="s">
        <v>39</v>
      </c>
      <c r="D1" s="34" t="s">
        <v>40</v>
      </c>
      <c r="E1" s="34" t="s">
        <v>42</v>
      </c>
      <c r="F1" s="34" t="s">
        <v>41</v>
      </c>
      <c r="G1" s="34" t="s">
        <v>43</v>
      </c>
      <c r="H1" s="34" t="s">
        <v>44</v>
      </c>
      <c r="I1" s="34" t="s">
        <v>45</v>
      </c>
      <c r="J1" s="34" t="s">
        <v>46</v>
      </c>
    </row>
    <row r="2" spans="1:10" ht="22" x14ac:dyDescent="0.3">
      <c r="A2" s="36" t="s">
        <v>51</v>
      </c>
      <c r="B2" s="36" t="s">
        <v>0</v>
      </c>
      <c r="C2" s="37">
        <v>200</v>
      </c>
      <c r="D2" s="37">
        <v>200</v>
      </c>
      <c r="E2" s="37">
        <v>200</v>
      </c>
      <c r="F2" s="37">
        <v>200</v>
      </c>
      <c r="G2" s="37">
        <v>200</v>
      </c>
      <c r="H2" s="37">
        <v>200</v>
      </c>
      <c r="I2" s="37">
        <v>200</v>
      </c>
      <c r="J2" s="37">
        <v>200</v>
      </c>
    </row>
    <row r="3" spans="1:10" ht="22" x14ac:dyDescent="0.3">
      <c r="A3" s="38" t="s">
        <v>52</v>
      </c>
      <c r="B3" s="38" t="s">
        <v>18</v>
      </c>
      <c r="C3" s="39">
        <v>0</v>
      </c>
      <c r="D3" s="39" t="s">
        <v>77</v>
      </c>
      <c r="E3" s="39" t="s">
        <v>77</v>
      </c>
      <c r="F3" s="39" t="s">
        <v>77</v>
      </c>
      <c r="G3" s="39" t="s">
        <v>77</v>
      </c>
      <c r="H3" s="39" t="s">
        <v>77</v>
      </c>
      <c r="I3" s="39" t="s">
        <v>77</v>
      </c>
      <c r="J3" s="39" t="s">
        <v>77</v>
      </c>
    </row>
    <row r="4" spans="1:10" s="57" customFormat="1" ht="22" x14ac:dyDescent="0.3">
      <c r="A4" s="56" t="s">
        <v>78</v>
      </c>
      <c r="B4" s="56" t="s">
        <v>47</v>
      </c>
      <c r="C4" s="58">
        <f>SUMIF(Table5[[Movement]:[Movement]],"Credit", Table5[2024-05-01])-SUMIF(Table5[[Movement]:[Movement]],"Debit", Table5[2024-05-01])</f>
        <v>200</v>
      </c>
      <c r="D4" s="58">
        <f>SUMIF(Table5[[Movement]:[Movement]],"Credit", Table5[2024-06-01])-SUMIF(Table5[[Movement]:[Movement]],"Debit", Table5[2024-06-01])</f>
        <v>200</v>
      </c>
      <c r="E4" s="58">
        <f>SUMIF(Table5[[Movement]:[Movement]],"Credit", Table5[2024-07-01])-SUMIF(Table5[[Movement]:[Movement]],"Debit", Table5[2024-07-01])</f>
        <v>200</v>
      </c>
      <c r="F4" s="58">
        <f>SUMIF(Table5[[Movement]:[Movement]],"Credit", Table5[2024-08-01])-SUMIF(Table5[[Movement]:[Movement]],"Debit", Table5[2024-08-01])</f>
        <v>200</v>
      </c>
      <c r="G4" s="58">
        <f>SUMIF(Table5[[Movement]:[Movement]],"Credit", Table5[2024-09-01])-SUMIF(Table5[[Movement]:[Movement]],"Debit", Table5[2024-09-01])</f>
        <v>200</v>
      </c>
      <c r="H4" s="58">
        <f>SUMIF(Table5[[Movement]:[Movement]],"Credit", Table5[2024-10-01])-SUMIF(Table5[[Movement]:[Movement]],"Debit", Table5[2024-10-01])</f>
        <v>200</v>
      </c>
      <c r="I4" s="58">
        <f>SUMIF(Table5[[Movement]:[Movement]],"Credit", Table5[2024-11-01])-SUMIF(Table5[[Movement]:[Movement]],"Debit", Table5[2024-11-01])</f>
        <v>200</v>
      </c>
      <c r="J4" s="58">
        <f>SUMIF(Table5[[Movement]:[Movement]],"Credit", Table5[2024-12-01])-SUMIF(Table5[[Movement]:[Movement]],"Debit", Table5[2024-12-01])</f>
        <v>200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6BF-4E21-7D49-A0F6-A907D4FEB74D}">
  <dimension ref="A1:J9"/>
  <sheetViews>
    <sheetView showGridLines="0" workbookViewId="0">
      <selection activeCell="C1" sqref="C1:D1048576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</row>
    <row r="2" spans="1:10" s="2" customFormat="1" ht="22" x14ac:dyDescent="0.3">
      <c r="A2" s="28" t="s">
        <v>51</v>
      </c>
      <c r="B2" s="16" t="s">
        <v>0</v>
      </c>
      <c r="C2" s="8"/>
      <c r="D2" s="8">
        <v>500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</row>
    <row r="3" spans="1:10" s="20" customFormat="1" ht="22" x14ac:dyDescent="0.3">
      <c r="A3" s="17" t="s">
        <v>52</v>
      </c>
      <c r="B3" s="18" t="s">
        <v>29</v>
      </c>
      <c r="C3" s="19"/>
      <c r="D3" s="19">
        <v>1000</v>
      </c>
      <c r="E3" s="19">
        <v>1000</v>
      </c>
      <c r="F3" s="19"/>
      <c r="G3" s="19"/>
      <c r="H3" s="19"/>
      <c r="I3" s="19"/>
      <c r="J3" s="19"/>
    </row>
    <row r="4" spans="1:10" s="20" customFormat="1" ht="22" x14ac:dyDescent="0.3">
      <c r="A4" s="17" t="s">
        <v>52</v>
      </c>
      <c r="B4" s="18" t="s">
        <v>30</v>
      </c>
      <c r="C4" s="19"/>
      <c r="D4" s="19"/>
      <c r="E4" s="19">
        <v>4000</v>
      </c>
      <c r="F4" s="19"/>
      <c r="G4" s="19"/>
      <c r="H4" s="19"/>
      <c r="I4" s="19"/>
      <c r="J4" s="19"/>
    </row>
    <row r="5" spans="1:10" s="20" customFormat="1" ht="22" x14ac:dyDescent="0.3">
      <c r="A5" s="17" t="s">
        <v>52</v>
      </c>
      <c r="B5" s="18" t="s">
        <v>32</v>
      </c>
      <c r="C5" s="19"/>
      <c r="D5" s="19"/>
      <c r="E5" s="19"/>
      <c r="F5" s="19"/>
      <c r="G5" s="19">
        <v>500</v>
      </c>
      <c r="H5" s="19"/>
      <c r="I5" s="19"/>
      <c r="J5" s="19"/>
    </row>
    <row r="6" spans="1:10" s="20" customFormat="1" ht="22" x14ac:dyDescent="0.3">
      <c r="A6" s="17" t="s">
        <v>52</v>
      </c>
      <c r="B6" s="18" t="s">
        <v>28</v>
      </c>
      <c r="C6" s="19"/>
      <c r="D6" s="19"/>
      <c r="E6" s="19"/>
      <c r="F6" s="19"/>
      <c r="G6" s="19"/>
      <c r="H6" s="19">
        <v>5000</v>
      </c>
      <c r="I6" s="19"/>
      <c r="J6" s="19"/>
    </row>
    <row r="7" spans="1:10" s="20" customFormat="1" ht="22" x14ac:dyDescent="0.3">
      <c r="A7" s="17" t="s">
        <v>52</v>
      </c>
      <c r="B7" s="18" t="s">
        <v>21</v>
      </c>
      <c r="C7" s="19"/>
      <c r="D7" s="19"/>
      <c r="E7" s="19">
        <v>3000</v>
      </c>
      <c r="F7" s="19"/>
      <c r="G7" s="19"/>
      <c r="H7" s="19"/>
      <c r="I7" s="19"/>
      <c r="J7" s="19"/>
    </row>
    <row r="8" spans="1:10" s="4" customFormat="1" ht="22" x14ac:dyDescent="0.3">
      <c r="A8" s="17" t="s">
        <v>52</v>
      </c>
      <c r="B8" s="17" t="s">
        <v>33</v>
      </c>
      <c r="C8" s="10"/>
      <c r="D8" s="10"/>
      <c r="E8" s="10"/>
      <c r="F8" s="10">
        <v>500</v>
      </c>
      <c r="G8" s="10"/>
      <c r="H8" s="10"/>
      <c r="I8" s="10"/>
      <c r="J8" s="10"/>
    </row>
    <row r="9" spans="1:10" ht="22" x14ac:dyDescent="0.3">
      <c r="A9" s="40" t="s">
        <v>78</v>
      </c>
      <c r="B9" s="40" t="s">
        <v>31</v>
      </c>
      <c r="C9" s="43">
        <f>SUMIF(Table32810[[Movement]:[Movement]],"Credit", Table32810[2024-05-01])-SUMIF(Table32810[[Movement]:[Movement]],"Debit", Table32810[2024-05-01])</f>
        <v>0</v>
      </c>
      <c r="D9" s="43">
        <f>SUMIF(Table32810[[Movement]:[Movement]],"Credit", Table32810[2024-06-01])-SUMIF(Table32810[[Movement]:[Movement]],"Debit", Table32810[2024-06-01])</f>
        <v>-500</v>
      </c>
      <c r="E9" s="43">
        <f>SUMIF(Table32810[[Movement]:[Movement]],"Credit", Table32810[2024-07-01])-SUMIF(Table32810[[Movement]:[Movement]],"Debit", Table32810[2024-07-01])</f>
        <v>-8000</v>
      </c>
      <c r="F9" s="43">
        <f>SUMIF(Table32810[[Movement]:[Movement]],"Credit", Table32810[2024-08-01])-SUMIF(Table32810[[Movement]:[Movement]],"Debit", Table32810[2024-08-01])</f>
        <v>-500</v>
      </c>
      <c r="G9" s="43">
        <f>SUMIF(Table32810[[Movement]:[Movement]],"Credit", Table32810[2024-09-01])-SUMIF(Table32810[[Movement]:[Movement]],"Debit", Table32810[2024-09-01])</f>
        <v>-500</v>
      </c>
      <c r="H9" s="43">
        <f>SUMIF(Table32810[[Movement]:[Movement]],"Credit", Table32810[2024-10-01])-SUMIF(Table32810[[Movement]:[Movement]],"Debit", Table32810[2024-10-01])</f>
        <v>-5000</v>
      </c>
      <c r="I9" s="43">
        <f>SUMIF(Table32810[[Movement]:[Movement]],"Credit", Table32810[2024-11-01])-SUMIF(Table32810[[Movement]:[Movement]],"Debit", Table32810[2024-11-01])</f>
        <v>0</v>
      </c>
      <c r="J9" s="43">
        <f>SUMIF(Table32810[[Movement]:[Movement]],"Credit", Table32810[2024-12-01])-SUMIF(Table32810[[Movement]:[Movement]],"Debit", Table32810[2024-12-01])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F37-EEC1-1D4A-AB4A-07B4665E1B14}">
  <dimension ref="A1:J4"/>
  <sheetViews>
    <sheetView workbookViewId="0">
      <selection activeCell="C1" sqref="C1:D1048576"/>
    </sheetView>
  </sheetViews>
  <sheetFormatPr baseColWidth="10" defaultRowHeight="16" x14ac:dyDescent="0.2"/>
  <cols>
    <col min="2" max="2" width="29.83203125" bestFit="1" customWidth="1"/>
    <col min="3" max="4" width="16.5" hidden="1" customWidth="1"/>
    <col min="5" max="10" width="16.5" customWidth="1"/>
  </cols>
  <sheetData>
    <row r="1" spans="1:10" ht="17" thickBot="1" x14ac:dyDescent="0.25">
      <c r="A1" s="6" t="s">
        <v>24</v>
      </c>
      <c r="B1" s="15" t="s">
        <v>50</v>
      </c>
      <c r="C1" s="21" t="s">
        <v>39</v>
      </c>
      <c r="D1" s="21" t="s">
        <v>40</v>
      </c>
      <c r="E1" s="21" t="s">
        <v>42</v>
      </c>
      <c r="F1" s="21" t="s">
        <v>41</v>
      </c>
      <c r="G1" s="21" t="s">
        <v>43</v>
      </c>
      <c r="H1" s="21" t="s">
        <v>44</v>
      </c>
      <c r="I1" s="21" t="s">
        <v>45</v>
      </c>
      <c r="J1" s="21" t="s">
        <v>46</v>
      </c>
    </row>
    <row r="2" spans="1:10" ht="22" x14ac:dyDescent="0.3">
      <c r="A2" s="28" t="s">
        <v>51</v>
      </c>
      <c r="B2" s="28" t="s">
        <v>17</v>
      </c>
      <c r="C2" s="27">
        <v>2000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</row>
    <row r="3" spans="1:10" ht="22" x14ac:dyDescent="0.3">
      <c r="A3" s="32" t="s">
        <v>52</v>
      </c>
      <c r="B3" s="29" t="s">
        <v>18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</row>
    <row r="4" spans="1:10" ht="22" x14ac:dyDescent="0.3">
      <c r="A4" s="40" t="s">
        <v>78</v>
      </c>
      <c r="B4" s="40" t="s">
        <v>9</v>
      </c>
      <c r="C4" s="43">
        <f>SUMIF(Table3254[[Movement]:[Movement]],"Credit", Table3254[2024-05-01])-SUMIF(Table3254[[Movement]:[Movement]],"Debit",Table3254[2024-05-01])</f>
        <v>2000</v>
      </c>
      <c r="D4" s="43">
        <f>SUMIF(Table3254[[Movement]:[Movement]],"Credit", Table3254[2024-06-01])-SUMIF(Table3254[[Movement]:[Movement]],"Debit",Table3254[2024-06-01])</f>
        <v>0</v>
      </c>
      <c r="E4" s="43">
        <f>SUMIF(Table3254[[Movement]:[Movement]],"Credit", Table3254[2024-07-01])-SUMIF(Table3254[[Movement]:[Movement]],"Debit",Table3254[2024-07-01])</f>
        <v>0</v>
      </c>
      <c r="F4" s="43">
        <f>SUMIF(Table3254[[Movement]:[Movement]],"Credit", Table3254[2024-08-01])-SUMIF(Table3254[[Movement]:[Movement]],"Debit",Table3254[2024-08-01])</f>
        <v>0</v>
      </c>
      <c r="G4" s="43">
        <f>SUMIF(Table3254[[Movement]:[Movement]],"Credit", Table3254[2024-09-01])-SUMIF(Table3254[[Movement]:[Movement]],"Debit",Table3254[2024-09-01])</f>
        <v>0</v>
      </c>
      <c r="H4" s="43">
        <f>SUMIF(Table3254[[Movement]:[Movement]],"Credit", Table3254[2024-10-01])-SUMIF(Table3254[[Movement]:[Movement]],"Debit",Table3254[2024-10-01])</f>
        <v>0</v>
      </c>
      <c r="I4" s="43">
        <f>SUMIF(Table3254[[Movement]:[Movement]],"Credit", Table3254[2024-11-01])-SUMIF(Table3254[[Movement]:[Movement]],"Debit",Table3254[2024-11-01])</f>
        <v>0</v>
      </c>
      <c r="J4" s="43">
        <f>SUMIF(Table3254[[Movement]:[Movement]],"Credit", Table3254[2024-12-01])-SUMIF(Table3254[[Movement]:[Movement]],"Debit",Table3254[2024-12-01])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Jeanre Transactional</vt:lpstr>
      <vt:lpstr>Jodine Transactional</vt:lpstr>
      <vt:lpstr>Bernice Transactional</vt:lpstr>
      <vt:lpstr>Jeanre Credit Card</vt:lpstr>
      <vt:lpstr>Jodine U</vt:lpstr>
      <vt:lpstr>Emergency</vt:lpstr>
      <vt:lpstr>Personal Wealth</vt:lpstr>
      <vt:lpstr>Bernice Credit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2024-06-15T09:53:22Z</dcterms:modified>
</cp:coreProperties>
</file>