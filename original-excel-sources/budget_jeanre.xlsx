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ay/GIT-Repos-Personal/ftrack/original-excel-sources/"/>
    </mc:Choice>
  </mc:AlternateContent>
  <xr:revisionPtr revIDLastSave="0" documentId="13_ncr:1_{C8279978-2666-9C49-9FF6-4916B1D042F5}" xr6:coauthVersionLast="47" xr6:coauthVersionMax="47" xr10:uidLastSave="{00000000-0000-0000-0000-000000000000}"/>
  <bookViews>
    <workbookView xWindow="-68800" yWindow="-10980" windowWidth="68800" windowHeight="28300" xr2:uid="{F25DD163-696E-F842-A897-5E899A2812A7}"/>
  </bookViews>
  <sheets>
    <sheet name="Jeanre Transactional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2" i="11" l="1"/>
  <c r="M42" i="11"/>
  <c r="L42" i="11"/>
  <c r="K42" i="11"/>
  <c r="J42" i="11"/>
  <c r="I42" i="11"/>
  <c r="H42" i="11"/>
  <c r="G42" i="11"/>
  <c r="F42" i="11"/>
  <c r="E42" i="11"/>
  <c r="D42" i="11"/>
  <c r="C42" i="11"/>
  <c r="Y71" i="11"/>
  <c r="Q74" i="11"/>
  <c r="M56" i="11" l="1"/>
  <c r="L41" i="11"/>
  <c r="M41" i="11" s="1"/>
  <c r="K41" i="11"/>
  <c r="I59" i="11"/>
  <c r="I41" i="11"/>
  <c r="C41" i="11"/>
  <c r="J41" i="11"/>
  <c r="H41" i="11"/>
  <c r="G41" i="11"/>
  <c r="F41" i="11"/>
  <c r="E41" i="11"/>
  <c r="D41" i="11"/>
  <c r="N41" i="11" l="1"/>
  <c r="O42" i="11" s="1"/>
  <c r="O41" i="11" l="1"/>
  <c r="P42" i="11" s="1"/>
  <c r="P41" i="11" l="1"/>
  <c r="Q42" i="11" s="1"/>
  <c r="Q41" i="11" l="1"/>
  <c r="R7" i="11" s="1"/>
  <c r="R42" i="11" s="1"/>
  <c r="R41" i="11" l="1"/>
  <c r="S7" i="11" s="1"/>
  <c r="S42" i="11" s="1"/>
  <c r="S41" i="11" l="1"/>
  <c r="T7" i="11" s="1"/>
  <c r="T42" i="11" s="1"/>
  <c r="T41" i="11" l="1"/>
  <c r="U7" i="11" s="1"/>
  <c r="U42" i="11" s="1"/>
  <c r="U41" i="11" l="1"/>
  <c r="V7" i="11" s="1"/>
  <c r="V42" i="11" s="1"/>
  <c r="V41" i="11" l="1"/>
</calcChain>
</file>

<file path=xl/sharedStrings.xml><?xml version="1.0" encoding="utf-8"?>
<sst xmlns="http://schemas.openxmlformats.org/spreadsheetml/2006/main" count="166" uniqueCount="105">
  <si>
    <t>Jeanre Transactional</t>
  </si>
  <si>
    <t>Home Loan</t>
  </si>
  <si>
    <t>Vehicle Loan</t>
  </si>
  <si>
    <t>Cell Phones</t>
  </si>
  <si>
    <t>Medical Aid</t>
  </si>
  <si>
    <t>Shortfall Insurance</t>
  </si>
  <si>
    <t>Vehicle Insurance</t>
  </si>
  <si>
    <t>Home Insurance</t>
  </si>
  <si>
    <t>Life Insurance</t>
  </si>
  <si>
    <t>Jeanre Credit Card</t>
  </si>
  <si>
    <t>Municipal Account</t>
  </si>
  <si>
    <t>Fuel</t>
  </si>
  <si>
    <t>Jansie</t>
  </si>
  <si>
    <t>Bernice Transactional</t>
  </si>
  <si>
    <t>Other</t>
  </si>
  <si>
    <t>Jeanre Retirement</t>
  </si>
  <si>
    <t>Netstar</t>
  </si>
  <si>
    <t>Movement</t>
  </si>
  <si>
    <t>Jodine U</t>
  </si>
  <si>
    <t>Personal Wealth</t>
  </si>
  <si>
    <t>Jodine Transactional</t>
  </si>
  <si>
    <t>Salary</t>
  </si>
  <si>
    <t>2024-05-01</t>
  </si>
  <si>
    <t>2024-06-01</t>
  </si>
  <si>
    <t>2024-08-01</t>
  </si>
  <si>
    <t>2024-07-01</t>
  </si>
  <si>
    <t>2024-09-01</t>
  </si>
  <si>
    <t>2024-10-01</t>
  </si>
  <si>
    <t>2024-11-01</t>
  </si>
  <si>
    <t>2024-12-01</t>
  </si>
  <si>
    <t>Emergency</t>
  </si>
  <si>
    <t>Internet</t>
  </si>
  <si>
    <t>Administration</t>
  </si>
  <si>
    <t>Account Secondary</t>
  </si>
  <si>
    <t>Credit</t>
  </si>
  <si>
    <t>Debit</t>
  </si>
  <si>
    <t>2025-01-01</t>
  </si>
  <si>
    <t>2025-02-01</t>
  </si>
  <si>
    <t>2025-03-01</t>
  </si>
  <si>
    <t>2025-04-01</t>
  </si>
  <si>
    <t>2025-06-01</t>
  </si>
  <si>
    <t>2025-05-01</t>
  </si>
  <si>
    <t>2025-07-01</t>
  </si>
  <si>
    <t>2025-08-01</t>
  </si>
  <si>
    <t>2025-09-01</t>
  </si>
  <si>
    <t>2025-10-01</t>
  </si>
  <si>
    <t>2025-11-01</t>
  </si>
  <si>
    <t>2025-12-01</t>
  </si>
  <si>
    <t>Subtotal</t>
  </si>
  <si>
    <t>Bicycle Claims</t>
  </si>
  <si>
    <t>Running Costs</t>
  </si>
  <si>
    <t>Medical</t>
  </si>
  <si>
    <t>Vehicle Licenses</t>
  </si>
  <si>
    <t>Tax</t>
  </si>
  <si>
    <t>Tax Refund</t>
  </si>
  <si>
    <t>Vape</t>
  </si>
  <si>
    <t>Retained Balance</t>
  </si>
  <si>
    <t>Accounts</t>
  </si>
  <si>
    <t>Events</t>
  </si>
  <si>
    <t>Gas</t>
  </si>
  <si>
    <t>econo</t>
  </si>
  <si>
    <t>total</t>
  </si>
  <si>
    <t>game</t>
  </si>
  <si>
    <t>dis chem</t>
  </si>
  <si>
    <t>food lovers</t>
  </si>
  <si>
    <t>Leftover</t>
  </si>
  <si>
    <t>jay main</t>
  </si>
  <si>
    <t xml:space="preserve">bulk meat </t>
  </si>
  <si>
    <t>shoprite</t>
  </si>
  <si>
    <t xml:space="preserve">food lovers </t>
  </si>
  <si>
    <t xml:space="preserve">westpack </t>
  </si>
  <si>
    <t>airtime</t>
  </si>
  <si>
    <t xml:space="preserve">kfc </t>
  </si>
  <si>
    <t>fuel</t>
  </si>
  <si>
    <t>checkers</t>
  </si>
  <si>
    <t xml:space="preserve">dis chem </t>
  </si>
  <si>
    <t>checkers - mother weekend</t>
  </si>
  <si>
    <t>fuel mother weekend</t>
  </si>
  <si>
    <t>garage mother weekend</t>
  </si>
  <si>
    <t>spar mother weekend</t>
  </si>
  <si>
    <t>claim from BCL for april</t>
  </si>
  <si>
    <t>B credit card</t>
  </si>
  <si>
    <t>Game</t>
  </si>
  <si>
    <t>vision meat</t>
  </si>
  <si>
    <t>3700 from jay</t>
  </si>
  <si>
    <t>4500 from B credit card</t>
  </si>
  <si>
    <t>8200 budget total</t>
  </si>
  <si>
    <t>1384 over budget</t>
  </si>
  <si>
    <t>1873 from b credit card</t>
  </si>
  <si>
    <t>7711 from jay main</t>
  </si>
  <si>
    <t xml:space="preserve">2627 needed from b credit card </t>
  </si>
  <si>
    <t xml:space="preserve">I have </t>
  </si>
  <si>
    <t>I am getting</t>
  </si>
  <si>
    <t>municipal account</t>
  </si>
  <si>
    <t>medical</t>
  </si>
  <si>
    <t>shortfall</t>
  </si>
  <si>
    <t>gap between these two is because of the leftover from the food budget</t>
  </si>
  <si>
    <t>1015 for mother weekend</t>
  </si>
  <si>
    <t xml:space="preserve">from bernice credit card. </t>
  </si>
  <si>
    <t>i can pay now</t>
  </si>
  <si>
    <t xml:space="preserve">extra next month: </t>
  </si>
  <si>
    <t>no retain</t>
  </si>
  <si>
    <t>Easy Equities</t>
  </si>
  <si>
    <t>NEW HEROTEL EFT DETAILS!!</t>
  </si>
  <si>
    <t>Child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</si>
</sst>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R&quot;* #,##0.00_);_(&quot;R&quot;* \(#,##0.00\);_(&quot;R&quot;* &quot;-&quot;??_);_(@_)"/>
  </numFmts>
  <fonts count="2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6"/>
      <name val="Aptos Narrow"/>
      <scheme val="minor"/>
    </font>
    <font>
      <sz val="16"/>
      <name val="Aptos Narrow"/>
      <family val="2"/>
      <scheme val="minor"/>
    </font>
    <font>
      <b/>
      <sz val="16"/>
      <color theme="9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6"/>
      <color rgb="FF7030A0"/>
      <name val="Aptos Narrow"/>
      <family val="2"/>
      <scheme val="minor"/>
    </font>
    <font>
      <b/>
      <sz val="16"/>
      <color rgb="FFFFFF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6"/>
      <color rgb="FF00B050"/>
      <name val="Aptos Narrow"/>
      <scheme val="minor"/>
    </font>
    <font>
      <b/>
      <sz val="16"/>
      <color rgb="FF0070C0"/>
      <name val="Aptos Narrow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6"/>
      <color rgb="FF00B0F0"/>
      <name val="Aptos Narrow"/>
      <scheme val="minor"/>
    </font>
    <font>
      <b/>
      <sz val="16"/>
      <color rgb="FFFF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theme="0" tint="-0.14999847407452621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44" fontId="5" fillId="2" borderId="0" xfId="0" applyNumberFormat="1" applyFont="1" applyFill="1"/>
    <xf numFmtId="44" fontId="5" fillId="4" borderId="0" xfId="0" applyNumberFormat="1" applyFont="1" applyFill="1"/>
    <xf numFmtId="49" fontId="1" fillId="0" borderId="1" xfId="0" applyNumberFormat="1" applyFont="1" applyBorder="1"/>
    <xf numFmtId="44" fontId="8" fillId="2" borderId="0" xfId="0" applyNumberFormat="1" applyFont="1" applyFill="1"/>
    <xf numFmtId="44" fontId="6" fillId="2" borderId="0" xfId="0" applyNumberFormat="1" applyFont="1" applyFill="1"/>
    <xf numFmtId="0" fontId="7" fillId="5" borderId="0" xfId="0" applyFont="1" applyFill="1"/>
    <xf numFmtId="44" fontId="6" fillId="5" borderId="0" xfId="0" applyNumberFormat="1" applyFont="1" applyFill="1"/>
    <xf numFmtId="0" fontId="3" fillId="3" borderId="0" xfId="0" applyFont="1" applyFill="1"/>
    <xf numFmtId="44" fontId="6" fillId="3" borderId="0" xfId="0" applyNumberFormat="1" applyFont="1" applyFill="1"/>
    <xf numFmtId="0" fontId="7" fillId="3" borderId="0" xfId="0" applyFont="1" applyFill="1"/>
    <xf numFmtId="44" fontId="5" fillId="3" borderId="0" xfId="0" applyNumberFormat="1" applyFont="1" applyFill="1"/>
    <xf numFmtId="0" fontId="7" fillId="2" borderId="0" xfId="0" applyFont="1" applyFill="1"/>
    <xf numFmtId="44" fontId="10" fillId="5" borderId="0" xfId="0" applyNumberFormat="1" applyFont="1" applyFill="1"/>
    <xf numFmtId="0" fontId="1" fillId="0" borderId="6" xfId="0" applyFont="1" applyBorder="1"/>
    <xf numFmtId="49" fontId="1" fillId="0" borderId="2" xfId="0" applyNumberFormat="1" applyFont="1" applyBorder="1"/>
    <xf numFmtId="0" fontId="7" fillId="2" borderId="2" xfId="0" applyFont="1" applyFill="1" applyBorder="1"/>
    <xf numFmtId="0" fontId="7" fillId="2" borderId="3" xfId="0" applyFont="1" applyFill="1" applyBorder="1"/>
    <xf numFmtId="44" fontId="10" fillId="2" borderId="3" xfId="0" applyNumberFormat="1" applyFont="1" applyFill="1" applyBorder="1"/>
    <xf numFmtId="44" fontId="11" fillId="2" borderId="3" xfId="0" applyNumberFormat="1" applyFont="1" applyFill="1" applyBorder="1"/>
    <xf numFmtId="44" fontId="10" fillId="2" borderId="0" xfId="0" applyNumberFormat="1" applyFont="1" applyFill="1"/>
    <xf numFmtId="44" fontId="11" fillId="2" borderId="0" xfId="0" applyNumberFormat="1" applyFont="1" applyFill="1"/>
    <xf numFmtId="44" fontId="10" fillId="3" borderId="0" xfId="0" applyNumberFormat="1" applyFont="1" applyFill="1"/>
    <xf numFmtId="44" fontId="11" fillId="3" borderId="0" xfId="0" applyNumberFormat="1" applyFont="1" applyFill="1"/>
    <xf numFmtId="44" fontId="11" fillId="5" borderId="0" xfId="0" applyNumberFormat="1" applyFont="1" applyFill="1"/>
    <xf numFmtId="44" fontId="13" fillId="3" borderId="0" xfId="0" applyNumberFormat="1" applyFont="1" applyFill="1"/>
    <xf numFmtId="44" fontId="12" fillId="3" borderId="0" xfId="0" applyNumberFormat="1" applyFont="1" applyFill="1"/>
    <xf numFmtId="0" fontId="9" fillId="4" borderId="4" xfId="0" applyFont="1" applyFill="1" applyBorder="1"/>
    <xf numFmtId="44" fontId="9" fillId="4" borderId="4" xfId="0" applyNumberFormat="1" applyFont="1" applyFill="1" applyBorder="1"/>
    <xf numFmtId="44" fontId="8" fillId="3" borderId="0" xfId="0" applyNumberFormat="1" applyFont="1" applyFill="1"/>
    <xf numFmtId="44" fontId="8" fillId="5" borderId="0" xfId="0" applyNumberFormat="1" applyFont="1" applyFill="1"/>
    <xf numFmtId="44" fontId="14" fillId="2" borderId="0" xfId="0" applyNumberFormat="1" applyFont="1" applyFill="1"/>
    <xf numFmtId="44" fontId="14" fillId="3" borderId="0" xfId="0" applyNumberFormat="1" applyFont="1" applyFill="1"/>
    <xf numFmtId="44" fontId="14" fillId="5" borderId="0" xfId="0" applyNumberFormat="1" applyFont="1" applyFill="1"/>
    <xf numFmtId="44" fontId="15" fillId="3" borderId="0" xfId="0" applyNumberFormat="1" applyFont="1" applyFill="1"/>
    <xf numFmtId="0" fontId="2" fillId="0" borderId="5" xfId="0" applyFont="1" applyBorder="1"/>
    <xf numFmtId="0" fontId="0" fillId="0" borderId="5" xfId="0" applyBorder="1"/>
    <xf numFmtId="0" fontId="0" fillId="0" borderId="8" xfId="0" applyBorder="1"/>
    <xf numFmtId="0" fontId="2" fillId="0" borderId="8" xfId="0" applyFont="1" applyBorder="1"/>
    <xf numFmtId="0" fontId="0" fillId="0" borderId="7" xfId="0" applyBorder="1"/>
    <xf numFmtId="0" fontId="2" fillId="0" borderId="7" xfId="0" applyFont="1" applyBorder="1"/>
    <xf numFmtId="0" fontId="17" fillId="7" borderId="0" xfId="2"/>
    <xf numFmtId="0" fontId="16" fillId="6" borderId="0" xfId="1"/>
    <xf numFmtId="44" fontId="18" fillId="3" borderId="0" xfId="0" applyNumberFormat="1" applyFont="1" applyFill="1"/>
    <xf numFmtId="44" fontId="18" fillId="5" borderId="0" xfId="0" applyNumberFormat="1" applyFont="1" applyFill="1"/>
    <xf numFmtId="44" fontId="19" fillId="5" borderId="0" xfId="0" applyNumberFormat="1" applyFont="1" applyFill="1"/>
    <xf numFmtId="44" fontId="19" fillId="3" borderId="0" xfId="0" applyNumberFormat="1" applyFont="1" applyFill="1"/>
  </cellXfs>
  <cellStyles count="3">
    <cellStyle name="Good" xfId="1" builtinId="26"/>
    <cellStyle name="Neutral" xfId="2" builtinId="28"/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8AF483-6833-C345-BA9D-0EF06231DA67}" name="jtrn" displayName="jtrn" ref="A1:V41" totalsRowCount="1" headerRowDxfId="47" dataDxfId="46">
  <autoFilter ref="A1:V40" xr:uid="{168AF483-6833-C345-BA9D-0EF06231DA67}"/>
  <tableColumns count="22">
    <tableColumn id="1" xr3:uid="{53007CBC-089F-9844-888D-4AFD025D21A4}" name="Movement" totalsRowLabel="Subtotal" dataDxfId="45" totalsRowDxfId="44"/>
    <tableColumn id="2" xr3:uid="{E7670F3E-FFC8-B44C-B726-CCCD0DDE580C}" name="Account Secondary" totalsRowLabel="Jeanre Transactional" dataDxfId="43" totalsRowDxfId="42"/>
    <tableColumn id="3" xr3:uid="{BC34C8F0-D5A8-A942-ACF9-3833C647F3AA}" name="2024-05-01" totalsRowFunction="custom" dataDxfId="41" totalsRowDxfId="40">
      <totalsRowFormula>SUMIF('Jeanre Transactional'!$A$2:$A$41,"Credit", 'Jeanre Transactional'!$C$2:$C$41)-SUMIF('Jeanre Transactional'!$A$2:$A$41,"Debit", 'Jeanre Transactional'!$C$2:$C$41)</totalsRowFormula>
    </tableColumn>
    <tableColumn id="4" xr3:uid="{12E99681-3EF3-154C-81F1-3C68ABFA379F}" name="2024-06-01" totalsRowFunction="custom" dataDxfId="39" totalsRowDxfId="38">
      <totalsRowFormula>SUMIF('Jeanre Transactional'!$A$2:$A$41,"Credit", 'Jeanre Transactional'!$D$2:$D$41)-SUMIF('Jeanre Transactional'!$A$2:$A$41,"Debit", 'Jeanre Transactional'!$D$2:$D$41)</totalsRowFormula>
    </tableColumn>
    <tableColumn id="5" xr3:uid="{F853A505-CD2D-424A-AB56-7C307ACC3B35}" name="2024-07-01" totalsRowFunction="custom" dataDxfId="37" totalsRowDxfId="36">
      <totalsRowFormula>SUMIF('Jeanre Transactional'!$A$2:$A$41,"Credit", 'Jeanre Transactional'!$E$2:$E$41)-SUMIF('Jeanre Transactional'!$A$2:$A$41,"Debit", 'Jeanre Transactional'!$E$2:$E$41)</totalsRowFormula>
    </tableColumn>
    <tableColumn id="6" xr3:uid="{7A5E017B-4309-9E43-8312-61D7567F2717}" name="2024-08-01" totalsRowFunction="custom" dataDxfId="35" totalsRowDxfId="34">
      <totalsRowFormula>SUMIF('Jeanre Transactional'!$A$2:$A$41,"Credit", 'Jeanre Transactional'!$F$2:$F$41)-SUMIF('Jeanre Transactional'!$A$2:$A$41,"Debit", 'Jeanre Transactional'!$F$2:$F$41)</totalsRowFormula>
    </tableColumn>
    <tableColumn id="7" xr3:uid="{35A69827-17E6-D747-80AA-A3903629E38D}" name="2024-09-01" totalsRowFunction="custom" dataDxfId="33" totalsRowDxfId="32">
      <totalsRowFormula>SUMIF('Jeanre Transactional'!$A$2:$A$41,"Credit", 'Jeanre Transactional'!$G$2:$G$41)-SUMIF('Jeanre Transactional'!$A$2:$A$41,"Debit", 'Jeanre Transactional'!$G$2:$G$41)</totalsRowFormula>
    </tableColumn>
    <tableColumn id="8" xr3:uid="{07201ECD-0600-9049-8CF3-536066F50B85}" name="2024-10-01" totalsRowFunction="custom" dataDxfId="31" totalsRowDxfId="30">
      <totalsRowFormula>SUMIF('Jeanre Transactional'!$A$2:$A$41,"Credit", 'Jeanre Transactional'!$H$2:$H$41)-SUMIF('Jeanre Transactional'!$A$2:$A$41,"Debit", 'Jeanre Transactional'!$H$2:$H$41)</totalsRowFormula>
    </tableColumn>
    <tableColumn id="9" xr3:uid="{95C89772-EB84-6148-A713-02DB6582171E}" name="2024-11-01" totalsRowFunction="custom" dataDxfId="29" totalsRowDxfId="28">
      <totalsRowFormula>SUMIF('Jeanre Transactional'!$A$2:$A$41,"Credit", 'Jeanre Transactional'!$I$2:$I$41)-SUMIF('Jeanre Transactional'!$A$2:$A$41,"Debit", 'Jeanre Transactional'!$I$2:$I$41)</totalsRowFormula>
    </tableColumn>
    <tableColumn id="10" xr3:uid="{78C2C3D1-00C3-B447-A15B-F22E336A2B58}" name="2024-12-01" totalsRowFunction="custom" dataDxfId="27" totalsRowDxfId="26">
      <totalsRowFormula>SUMIF('Jeanre Transactional'!$A$2:$A$41,"Credit", 'Jeanre Transactional'!$J$2:$J$41)-SUMIF('Jeanre Transactional'!$A$2:$A$41,"Debit", 'Jeanre Transactional'!$J$2:$J$41)</totalsRowFormula>
    </tableColumn>
    <tableColumn id="11" xr3:uid="{A6168F27-4891-0749-92DD-57A77D1DACAA}" name="2025-01-01" totalsRowFunction="custom" dataDxfId="25" totalsRowDxfId="24">
      <totalsRowFormula>SUMIF(jtrn[Movement], "Credit", jtrn[2025-01-01]) - SUMIF(jtrn[Movement], "Debit", jtrn[2025-01-01])</totalsRowFormula>
    </tableColumn>
    <tableColumn id="12" xr3:uid="{58BC0315-6C75-9548-B003-5335630C1315}" name="2025-02-01" totalsRowFunction="custom" dataDxfId="23" totalsRowDxfId="22">
      <totalsRowFormula>SUMIF(jtrn[Movement], "Credit", jtrn[2025-02-01]) - SUMIF(jtrn[Movement], "Debit", jtrn[2025-02-01])</totalsRowFormula>
    </tableColumn>
    <tableColumn id="13" xr3:uid="{896888D1-CC44-3042-B2FE-75BF30E0F183}" name="2025-03-01" totalsRowFunction="custom" dataDxfId="21" totalsRowDxfId="20">
      <totalsRowFormula>SUMIF(jtrn[Movement], "Credit", jtrn[2025-03-01]) - SUMIF(jtrn[Movement], "Debit", jtrn[2025-03-01])</totalsRowFormula>
    </tableColumn>
    <tableColumn id="14" xr3:uid="{1670E3CE-2F37-E048-813C-B7C337151740}" name="2025-04-01" totalsRowFunction="custom" dataDxfId="19" totalsRowDxfId="18">
      <totalsRowFormula>SUMIF(jtrn[Movement], "Credit", jtrn[2025-04-01]) - SUMIF(jtrn[Movement], "Debit", jtrn[2025-04-01])</totalsRowFormula>
    </tableColumn>
    <tableColumn id="15" xr3:uid="{6572C763-49E9-AA4F-9718-2BC9B7E57762}" name="2025-05-01" totalsRowFunction="custom" dataDxfId="17" totalsRowDxfId="16">
      <totalsRowFormula>SUMIF(jtrn[Movement], "Credit", jtrn[2025-05-01]) - SUMIF(jtrn[Movement], "Debit", jtrn[2025-05-01])</totalsRowFormula>
    </tableColumn>
    <tableColumn id="16" xr3:uid="{99AC582F-E016-EB4C-A534-6BAC5A7AD88A}" name="2025-06-01" totalsRowFunction="custom" dataDxfId="15" totalsRowDxfId="14">
      <totalsRowFormula>SUMIF(jtrn[Movement], "Credit", jtrn[2025-06-01]) - SUMIF(jtrn[Movement], "Debit", jtrn[2025-06-01])</totalsRowFormula>
    </tableColumn>
    <tableColumn id="17" xr3:uid="{2AFE4E94-A26F-1648-B078-CC1ACB60F61E}" name="2025-07-01" totalsRowFunction="custom" dataDxfId="13" totalsRowDxfId="12">
      <totalsRowFormula>SUMIF(jtrn[Movement], "Credit", jtrn[2025-07-01]) - SUMIF(jtrn[Movement], "Debit", jtrn[2025-07-01])</totalsRowFormula>
    </tableColumn>
    <tableColumn id="18" xr3:uid="{9169B43F-AE90-B84E-BB9B-3E2730E4B499}" name="2025-08-01" totalsRowFunction="custom" dataDxfId="11" totalsRowDxfId="10">
      <totalsRowFormula>SUMIF(jtrn[Movement], "Credit", jtrn[2025-08-01]) - SUMIF(jtrn[Movement], "Debit", jtrn[2025-08-01])</totalsRowFormula>
    </tableColumn>
    <tableColumn id="19" xr3:uid="{16A4B7C1-DCCD-BC42-80A2-5A9B0AFE62B7}" name="2025-09-01" totalsRowFunction="custom" dataDxfId="9" totalsRowDxfId="8">
      <totalsRowFormula>SUMIF(jtrn[Movement], "Credit", jtrn[2025-09-01]) - SUMIF(jtrn[Movement], "Debit", jtrn[2025-09-01])</totalsRowFormula>
    </tableColumn>
    <tableColumn id="20" xr3:uid="{DA0D9353-5004-BC49-A034-377720B302FE}" name="2025-10-01" totalsRowFunction="custom" dataDxfId="7" totalsRowDxfId="6">
      <totalsRowFormula>SUMIF(jtrn[Movement], "Credit", jtrn[2025-10-01]) - SUMIF(jtrn[Movement], "Debit", jtrn[2025-10-01])</totalsRowFormula>
    </tableColumn>
    <tableColumn id="21" xr3:uid="{2CAF52BB-84EF-4B4E-9560-96A6E500A093}" name="2025-11-01" totalsRowFunction="custom" dataDxfId="5" totalsRowDxfId="4">
      <totalsRowFormula>SUMIF(jtrn[Movement], "Credit", jtrn[2025-11-01]) - SUMIF(jtrn[Movement], "Debit", jtrn[2025-11-01])</totalsRowFormula>
    </tableColumn>
    <tableColumn id="22" xr3:uid="{2627D4F2-2727-3545-907E-0FB0C0AA352F}" name="2025-12-01" totalsRowFunction="custom" dataDxfId="3" totalsRowDxfId="2">
      <totalsRowFormula>SUMIF(jtrn[Movement], "Credit", jtrn[2025-12-01]) - SUMIF(jtrn[Movement], "Debit", jtrn[2025-12-01])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97BE-146F-BF41-B2C2-34275CA1ADBB}">
  <sheetPr codeName="Sheet1"/>
  <dimension ref="A1:AC79"/>
  <sheetViews>
    <sheetView showGridLines="0" tabSelected="1" zoomScale="109" workbookViewId="0">
      <selection activeCell="J19" sqref="J19"/>
    </sheetView>
  </sheetViews>
  <sheetFormatPr baseColWidth="10" defaultRowHeight="16" x14ac:dyDescent="0.2"/>
  <cols>
    <col min="1" max="1" width="11" customWidth="1"/>
    <col min="2" max="2" width="25.6640625" bestFit="1" customWidth="1"/>
    <col min="3" max="3" width="20" customWidth="1"/>
    <col min="4" max="5" width="15.1640625" style="1" customWidth="1"/>
    <col min="6" max="11" width="15.1640625" customWidth="1"/>
    <col min="12" max="12" width="19" customWidth="1"/>
    <col min="13" max="22" width="19.33203125" customWidth="1"/>
    <col min="28" max="28" width="15.5" bestFit="1" customWidth="1"/>
  </cols>
  <sheetData>
    <row r="1" spans="1:22" ht="17" thickBot="1" x14ac:dyDescent="0.25">
      <c r="A1" s="17" t="s">
        <v>17</v>
      </c>
      <c r="B1" s="17" t="s">
        <v>33</v>
      </c>
      <c r="C1" s="18" t="s">
        <v>22</v>
      </c>
      <c r="D1" s="18" t="s">
        <v>23</v>
      </c>
      <c r="E1" s="18" t="s">
        <v>25</v>
      </c>
      <c r="F1" s="18" t="s">
        <v>24</v>
      </c>
      <c r="G1" s="18" t="s">
        <v>26</v>
      </c>
      <c r="H1" s="18" t="s">
        <v>27</v>
      </c>
      <c r="I1" s="18" t="s">
        <v>28</v>
      </c>
      <c r="J1" s="18" t="s">
        <v>29</v>
      </c>
      <c r="K1" s="6" t="s">
        <v>36</v>
      </c>
      <c r="L1" s="6" t="s">
        <v>37</v>
      </c>
      <c r="M1" s="6" t="s">
        <v>38</v>
      </c>
      <c r="N1" s="6" t="s">
        <v>39</v>
      </c>
      <c r="O1" s="6" t="s">
        <v>41</v>
      </c>
      <c r="P1" s="6" t="s">
        <v>40</v>
      </c>
      <c r="Q1" s="6" t="s">
        <v>42</v>
      </c>
      <c r="R1" s="6" t="s">
        <v>43</v>
      </c>
      <c r="S1" s="6" t="s">
        <v>44</v>
      </c>
      <c r="T1" s="6" t="s">
        <v>45</v>
      </c>
      <c r="U1" s="6" t="s">
        <v>46</v>
      </c>
      <c r="V1" s="6" t="s">
        <v>47</v>
      </c>
    </row>
    <row r="2" spans="1:22" s="2" customFormat="1" ht="22" x14ac:dyDescent="0.3">
      <c r="A2" s="19" t="s">
        <v>34</v>
      </c>
      <c r="B2" s="20" t="s">
        <v>21</v>
      </c>
      <c r="C2" s="21">
        <v>27000</v>
      </c>
      <c r="D2" s="21">
        <v>27000</v>
      </c>
      <c r="E2" s="22">
        <v>21600</v>
      </c>
      <c r="F2" s="21">
        <v>21600</v>
      </c>
      <c r="G2" s="21">
        <v>21600</v>
      </c>
      <c r="H2" s="21">
        <v>21600</v>
      </c>
      <c r="I2" s="21">
        <v>21600</v>
      </c>
      <c r="J2" s="21">
        <v>25100</v>
      </c>
      <c r="K2" s="8">
        <v>25100</v>
      </c>
      <c r="L2" s="7">
        <v>21600</v>
      </c>
      <c r="M2" s="34">
        <v>23100</v>
      </c>
      <c r="N2" s="7">
        <v>24600</v>
      </c>
      <c r="O2" s="7">
        <v>24600</v>
      </c>
      <c r="P2" s="7">
        <v>24600</v>
      </c>
      <c r="Q2" s="7">
        <v>24600</v>
      </c>
      <c r="R2" s="4">
        <v>24600</v>
      </c>
      <c r="S2" s="4">
        <v>24600</v>
      </c>
      <c r="T2" s="4">
        <v>24600</v>
      </c>
      <c r="U2" s="4">
        <v>24600</v>
      </c>
      <c r="V2" s="4">
        <v>24600</v>
      </c>
    </row>
    <row r="3" spans="1:22" s="2" customFormat="1" ht="22" x14ac:dyDescent="0.3">
      <c r="A3" s="15" t="s">
        <v>34</v>
      </c>
      <c r="B3" s="15" t="s">
        <v>49</v>
      </c>
      <c r="C3" s="23">
        <v>1325</v>
      </c>
      <c r="D3" s="23">
        <v>1325</v>
      </c>
      <c r="E3" s="23">
        <v>1325</v>
      </c>
      <c r="F3" s="23">
        <v>1325</v>
      </c>
      <c r="G3" s="23">
        <v>1325</v>
      </c>
      <c r="H3" s="23">
        <v>1000</v>
      </c>
      <c r="I3" s="23">
        <v>1000</v>
      </c>
      <c r="J3" s="23">
        <v>1169</v>
      </c>
      <c r="K3" s="8">
        <v>1169</v>
      </c>
      <c r="L3" s="7">
        <v>1169</v>
      </c>
      <c r="M3" s="34">
        <v>1169</v>
      </c>
      <c r="N3" s="7">
        <v>1669</v>
      </c>
      <c r="O3" s="7">
        <v>1169</v>
      </c>
      <c r="P3" s="7">
        <v>1349</v>
      </c>
      <c r="Q3" s="8">
        <v>1419</v>
      </c>
      <c r="R3" s="8">
        <v>1169</v>
      </c>
      <c r="S3" s="8">
        <v>1169</v>
      </c>
      <c r="T3" s="8">
        <v>1169</v>
      </c>
      <c r="U3" s="8">
        <v>1169</v>
      </c>
      <c r="V3" s="8">
        <v>1169</v>
      </c>
    </row>
    <row r="4" spans="1:22" s="2" customFormat="1" ht="22" x14ac:dyDescent="0.3">
      <c r="A4" s="15" t="s">
        <v>34</v>
      </c>
      <c r="B4" s="15" t="s">
        <v>20</v>
      </c>
      <c r="C4" s="23"/>
      <c r="D4" s="23"/>
      <c r="E4" s="23"/>
      <c r="F4" s="23">
        <v>750</v>
      </c>
      <c r="G4" s="23">
        <v>1250</v>
      </c>
      <c r="H4" s="23"/>
      <c r="I4" s="23">
        <v>250</v>
      </c>
      <c r="J4" s="23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s="2" customFormat="1" ht="22" x14ac:dyDescent="0.3">
      <c r="A5" s="15" t="s">
        <v>34</v>
      </c>
      <c r="B5" s="15" t="s">
        <v>14</v>
      </c>
      <c r="C5" s="23"/>
      <c r="D5" s="23"/>
      <c r="E5" s="23"/>
      <c r="F5" s="23"/>
      <c r="G5" s="23"/>
      <c r="H5" s="23"/>
      <c r="I5" s="23"/>
      <c r="J5" s="23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s="2" customFormat="1" ht="22" x14ac:dyDescent="0.3">
      <c r="A6" s="15" t="s">
        <v>34</v>
      </c>
      <c r="B6" s="15" t="s">
        <v>19</v>
      </c>
      <c r="C6" s="23"/>
      <c r="D6" s="23"/>
      <c r="E6" s="23"/>
      <c r="F6" s="23"/>
      <c r="G6" s="23"/>
      <c r="H6" s="23">
        <v>0</v>
      </c>
      <c r="I6" s="23">
        <v>3500</v>
      </c>
      <c r="J6" s="23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s="2" customFormat="1" ht="22" x14ac:dyDescent="0.3">
      <c r="A7" s="15" t="s">
        <v>34</v>
      </c>
      <c r="B7" s="15" t="s">
        <v>56</v>
      </c>
      <c r="C7" s="23"/>
      <c r="D7" s="23"/>
      <c r="E7" s="23"/>
      <c r="F7" s="23"/>
      <c r="G7" s="23"/>
      <c r="H7" s="23"/>
      <c r="I7" s="23"/>
      <c r="J7" s="23"/>
      <c r="K7" s="8"/>
      <c r="L7" s="8"/>
      <c r="M7" s="34">
        <v>259</v>
      </c>
      <c r="N7" s="7">
        <v>137</v>
      </c>
      <c r="O7" s="8">
        <v>0</v>
      </c>
      <c r="P7" s="7">
        <v>1024</v>
      </c>
      <c r="Q7" s="7">
        <v>900</v>
      </c>
      <c r="R7" s="8">
        <f>jtrn[[#Totals],[2025-07-01]]</f>
        <v>135</v>
      </c>
      <c r="S7" s="8">
        <f>jtrn[[#Totals],[2025-08-01]]</f>
        <v>1090</v>
      </c>
      <c r="T7" s="8">
        <f>jtrn[[#Totals],[2025-09-01]]</f>
        <v>6145</v>
      </c>
      <c r="U7" s="8">
        <f>jtrn[[#Totals],[2025-10-01]]</f>
        <v>6900</v>
      </c>
      <c r="V7" s="8">
        <f>jtrn[[#Totals],[2025-11-01]]</f>
        <v>5655</v>
      </c>
    </row>
    <row r="8" spans="1:22" s="2" customFormat="1" ht="22" x14ac:dyDescent="0.3">
      <c r="A8" s="15" t="s">
        <v>34</v>
      </c>
      <c r="B8" s="15" t="s">
        <v>54</v>
      </c>
      <c r="C8" s="23"/>
      <c r="D8" s="23"/>
      <c r="E8" s="23"/>
      <c r="F8" s="23"/>
      <c r="G8" s="23">
        <v>5700</v>
      </c>
      <c r="H8" s="23"/>
      <c r="I8" s="23"/>
      <c r="J8" s="23"/>
      <c r="K8" s="8"/>
      <c r="L8" s="8"/>
      <c r="M8" s="8"/>
      <c r="N8" s="8"/>
      <c r="O8" s="8"/>
      <c r="P8" s="8"/>
      <c r="Q8" s="8"/>
      <c r="R8" s="8"/>
      <c r="S8" s="8">
        <v>5000</v>
      </c>
      <c r="T8" s="8"/>
      <c r="U8" s="8"/>
      <c r="V8" s="8"/>
    </row>
    <row r="9" spans="1:22" s="2" customFormat="1" ht="22" x14ac:dyDescent="0.3">
      <c r="A9" s="15" t="s">
        <v>34</v>
      </c>
      <c r="B9" s="15" t="s">
        <v>13</v>
      </c>
      <c r="C9" s="23">
        <v>7700</v>
      </c>
      <c r="D9" s="23">
        <v>7700</v>
      </c>
      <c r="E9" s="24">
        <v>7000</v>
      </c>
      <c r="F9" s="23">
        <v>6800</v>
      </c>
      <c r="G9" s="23">
        <v>7000</v>
      </c>
      <c r="H9" s="23">
        <v>7300</v>
      </c>
      <c r="I9" s="23">
        <v>7750</v>
      </c>
      <c r="J9" s="23">
        <v>8000</v>
      </c>
      <c r="K9" s="8">
        <v>8000</v>
      </c>
      <c r="L9" s="7">
        <v>7700</v>
      </c>
      <c r="M9" s="34">
        <v>8000</v>
      </c>
      <c r="N9" s="7">
        <v>8000</v>
      </c>
      <c r="O9" s="7">
        <v>8000</v>
      </c>
      <c r="P9" s="7">
        <v>8000</v>
      </c>
      <c r="Q9" s="8">
        <v>8000</v>
      </c>
      <c r="R9" s="8">
        <v>8000</v>
      </c>
      <c r="S9" s="8">
        <v>8000</v>
      </c>
      <c r="T9" s="8">
        <v>8000</v>
      </c>
      <c r="U9" s="8">
        <v>8000</v>
      </c>
      <c r="V9" s="8">
        <v>8000</v>
      </c>
    </row>
    <row r="10" spans="1:22" s="3" customFormat="1" ht="22" x14ac:dyDescent="0.3">
      <c r="A10" s="13" t="s">
        <v>35</v>
      </c>
      <c r="B10" s="13" t="s">
        <v>9</v>
      </c>
      <c r="C10" s="25">
        <v>500</v>
      </c>
      <c r="D10" s="25">
        <v>1500</v>
      </c>
      <c r="E10" s="26">
        <v>250</v>
      </c>
      <c r="F10" s="25">
        <v>500</v>
      </c>
      <c r="G10" s="25">
        <v>500</v>
      </c>
      <c r="H10" s="25">
        <v>1000</v>
      </c>
      <c r="I10" s="25">
        <v>750</v>
      </c>
      <c r="J10" s="25">
        <v>1000</v>
      </c>
      <c r="K10" s="12">
        <v>1000</v>
      </c>
      <c r="L10" s="32">
        <v>1000</v>
      </c>
      <c r="M10" s="35">
        <v>2000</v>
      </c>
      <c r="N10" s="32">
        <v>1700</v>
      </c>
      <c r="O10" s="32">
        <v>1000</v>
      </c>
      <c r="P10" s="32">
        <v>2000</v>
      </c>
      <c r="Q10" s="32">
        <v>1500</v>
      </c>
      <c r="R10" s="12">
        <v>2000</v>
      </c>
      <c r="S10" s="12">
        <v>2000</v>
      </c>
      <c r="T10" s="12">
        <v>2000</v>
      </c>
      <c r="U10" s="12">
        <v>2000</v>
      </c>
      <c r="V10" s="12">
        <v>2000</v>
      </c>
    </row>
    <row r="11" spans="1:22" s="3" customFormat="1" ht="22" x14ac:dyDescent="0.3">
      <c r="A11" s="13" t="s">
        <v>35</v>
      </c>
      <c r="B11" s="13" t="s">
        <v>1</v>
      </c>
      <c r="C11" s="25">
        <v>8140</v>
      </c>
      <c r="D11" s="25">
        <v>8140</v>
      </c>
      <c r="E11" s="25">
        <v>8140</v>
      </c>
      <c r="F11" s="25">
        <v>8140</v>
      </c>
      <c r="G11" s="25">
        <v>8140</v>
      </c>
      <c r="H11" s="25">
        <v>8140</v>
      </c>
      <c r="I11" s="25">
        <v>8140</v>
      </c>
      <c r="J11" s="25">
        <v>8140</v>
      </c>
      <c r="K11" s="12">
        <v>8140</v>
      </c>
      <c r="L11" s="32">
        <v>7910</v>
      </c>
      <c r="M11" s="35">
        <v>7795</v>
      </c>
      <c r="N11" s="32">
        <v>7795</v>
      </c>
      <c r="O11" s="32">
        <v>7795</v>
      </c>
      <c r="P11" s="32">
        <v>7795</v>
      </c>
      <c r="Q11" s="12">
        <v>7795</v>
      </c>
      <c r="R11" s="12">
        <v>7795</v>
      </c>
      <c r="S11" s="12">
        <v>7795</v>
      </c>
      <c r="T11" s="12">
        <v>7795</v>
      </c>
      <c r="U11" s="12">
        <v>7795</v>
      </c>
      <c r="V11" s="12">
        <v>7795</v>
      </c>
    </row>
    <row r="12" spans="1:22" s="3" customFormat="1" ht="22" x14ac:dyDescent="0.3">
      <c r="A12" s="13" t="s">
        <v>35</v>
      </c>
      <c r="B12" s="13" t="s">
        <v>2</v>
      </c>
      <c r="C12" s="25">
        <v>3500</v>
      </c>
      <c r="D12" s="25">
        <v>3578</v>
      </c>
      <c r="E12" s="26">
        <v>3578</v>
      </c>
      <c r="F12" s="25">
        <v>3578</v>
      </c>
      <c r="G12" s="25">
        <v>3578</v>
      </c>
      <c r="H12" s="25">
        <v>3578</v>
      </c>
      <c r="I12" s="25">
        <v>3578</v>
      </c>
      <c r="J12" s="25">
        <v>3578</v>
      </c>
      <c r="K12" s="12">
        <v>3578</v>
      </c>
      <c r="L12" s="32">
        <v>3577</v>
      </c>
      <c r="M12" s="35">
        <v>3577</v>
      </c>
      <c r="N12" s="32">
        <v>3577</v>
      </c>
      <c r="O12" s="32">
        <v>3577</v>
      </c>
      <c r="P12" s="32">
        <v>3577</v>
      </c>
      <c r="Q12" s="32">
        <v>3577</v>
      </c>
      <c r="R12" s="12">
        <v>3577</v>
      </c>
      <c r="S12" s="12">
        <v>3577</v>
      </c>
      <c r="T12" s="12">
        <v>3577</v>
      </c>
      <c r="U12" s="12">
        <v>3577</v>
      </c>
      <c r="V12" s="12">
        <v>3577</v>
      </c>
    </row>
    <row r="13" spans="1:22" s="11" customFormat="1" ht="22" x14ac:dyDescent="0.3">
      <c r="A13" s="13" t="s">
        <v>35</v>
      </c>
      <c r="B13" s="9" t="s">
        <v>4</v>
      </c>
      <c r="C13" s="16">
        <v>4530</v>
      </c>
      <c r="D13" s="16">
        <v>4530</v>
      </c>
      <c r="E13" s="16">
        <v>4530</v>
      </c>
      <c r="F13" s="16">
        <v>4530</v>
      </c>
      <c r="G13" s="16">
        <v>5600</v>
      </c>
      <c r="H13" s="16">
        <v>5600</v>
      </c>
      <c r="I13" s="16">
        <v>5600</v>
      </c>
      <c r="J13" s="16">
        <v>5600</v>
      </c>
      <c r="K13" s="10">
        <v>5600</v>
      </c>
      <c r="L13" s="10">
        <v>6305</v>
      </c>
      <c r="M13" s="36">
        <v>6305</v>
      </c>
      <c r="N13" s="33">
        <v>6305</v>
      </c>
      <c r="O13" s="33">
        <v>6305</v>
      </c>
      <c r="P13" s="48">
        <v>6305</v>
      </c>
      <c r="Q13" s="10">
        <v>6305</v>
      </c>
      <c r="R13" s="10">
        <v>6305</v>
      </c>
      <c r="S13" s="10">
        <v>6305</v>
      </c>
      <c r="T13" s="10">
        <v>6305</v>
      </c>
      <c r="U13" s="10">
        <v>6305</v>
      </c>
      <c r="V13" s="10">
        <v>6305</v>
      </c>
    </row>
    <row r="14" spans="1:22" s="11" customFormat="1" ht="22" x14ac:dyDescent="0.3">
      <c r="A14" s="13" t="s">
        <v>35</v>
      </c>
      <c r="B14" s="13" t="s">
        <v>16</v>
      </c>
      <c r="C14" s="25">
        <v>110</v>
      </c>
      <c r="D14" s="25">
        <v>170</v>
      </c>
      <c r="E14" s="25">
        <v>170</v>
      </c>
      <c r="F14" s="25">
        <v>170</v>
      </c>
      <c r="G14" s="25">
        <v>170</v>
      </c>
      <c r="H14" s="25">
        <v>170</v>
      </c>
      <c r="I14" s="25">
        <v>170</v>
      </c>
      <c r="J14" s="25">
        <v>170</v>
      </c>
      <c r="K14" s="12">
        <v>170</v>
      </c>
      <c r="L14" s="32">
        <v>170</v>
      </c>
      <c r="M14" s="35">
        <v>170</v>
      </c>
      <c r="N14" s="32">
        <v>170</v>
      </c>
      <c r="O14" s="32">
        <v>170</v>
      </c>
      <c r="P14" s="32">
        <v>170</v>
      </c>
      <c r="Q14" s="12">
        <v>170</v>
      </c>
      <c r="R14" s="12">
        <v>170</v>
      </c>
      <c r="S14" s="12">
        <v>170</v>
      </c>
      <c r="T14" s="12">
        <v>170</v>
      </c>
      <c r="U14" s="12">
        <v>170</v>
      </c>
      <c r="V14" s="12">
        <v>170</v>
      </c>
    </row>
    <row r="15" spans="1:22" s="11" customFormat="1" ht="22" x14ac:dyDescent="0.3">
      <c r="A15" s="13" t="s">
        <v>35</v>
      </c>
      <c r="B15" s="9" t="s">
        <v>5</v>
      </c>
      <c r="C15" s="16">
        <v>117</v>
      </c>
      <c r="D15" s="16">
        <v>117</v>
      </c>
      <c r="E15" s="16">
        <v>117</v>
      </c>
      <c r="F15" s="16">
        <v>117</v>
      </c>
      <c r="G15" s="16">
        <v>117</v>
      </c>
      <c r="H15" s="16">
        <v>117</v>
      </c>
      <c r="I15" s="16">
        <v>117</v>
      </c>
      <c r="J15" s="16">
        <v>117</v>
      </c>
      <c r="K15" s="10">
        <v>117</v>
      </c>
      <c r="L15" s="33">
        <v>117</v>
      </c>
      <c r="M15" s="36">
        <v>117</v>
      </c>
      <c r="N15" s="33">
        <v>117</v>
      </c>
      <c r="O15" s="33">
        <v>117</v>
      </c>
      <c r="P15" s="33">
        <v>117</v>
      </c>
      <c r="Q15" s="10">
        <v>117</v>
      </c>
      <c r="R15" s="10">
        <v>117</v>
      </c>
      <c r="S15" s="10">
        <v>117</v>
      </c>
      <c r="T15" s="10">
        <v>117</v>
      </c>
      <c r="U15" s="10">
        <v>117</v>
      </c>
      <c r="V15" s="10">
        <v>117</v>
      </c>
    </row>
    <row r="16" spans="1:22" s="11" customFormat="1" ht="22" x14ac:dyDescent="0.3">
      <c r="A16" s="13" t="s">
        <v>35</v>
      </c>
      <c r="B16" s="13" t="s">
        <v>6</v>
      </c>
      <c r="C16" s="25">
        <v>1050</v>
      </c>
      <c r="D16" s="25">
        <v>988</v>
      </c>
      <c r="E16" s="26">
        <v>988</v>
      </c>
      <c r="F16" s="25">
        <v>988</v>
      </c>
      <c r="G16" s="25">
        <v>988</v>
      </c>
      <c r="H16" s="25">
        <v>988</v>
      </c>
      <c r="I16" s="25">
        <v>988</v>
      </c>
      <c r="J16" s="25">
        <v>988</v>
      </c>
      <c r="K16" s="12">
        <v>988</v>
      </c>
      <c r="L16" s="32">
        <v>988</v>
      </c>
      <c r="M16" s="35">
        <v>690</v>
      </c>
      <c r="N16" s="46">
        <v>690</v>
      </c>
      <c r="O16" s="32">
        <v>855</v>
      </c>
      <c r="P16" s="49">
        <v>690</v>
      </c>
      <c r="Q16" s="12">
        <v>690</v>
      </c>
      <c r="R16" s="12">
        <v>690</v>
      </c>
      <c r="S16" s="12">
        <v>690</v>
      </c>
      <c r="T16" s="12">
        <v>690</v>
      </c>
      <c r="U16" s="12">
        <v>690</v>
      </c>
      <c r="V16" s="12">
        <v>690</v>
      </c>
    </row>
    <row r="17" spans="1:22" s="11" customFormat="1" ht="22" x14ac:dyDescent="0.3">
      <c r="A17" s="13" t="s">
        <v>35</v>
      </c>
      <c r="B17" s="9" t="s">
        <v>7</v>
      </c>
      <c r="C17" s="16">
        <v>1200</v>
      </c>
      <c r="D17" s="16">
        <v>560</v>
      </c>
      <c r="E17" s="16">
        <v>560</v>
      </c>
      <c r="F17" s="16">
        <v>560</v>
      </c>
      <c r="G17" s="16">
        <v>560</v>
      </c>
      <c r="H17" s="16">
        <v>560</v>
      </c>
      <c r="I17" s="16">
        <v>610</v>
      </c>
      <c r="J17" s="16">
        <v>610</v>
      </c>
      <c r="K17" s="10">
        <v>610</v>
      </c>
      <c r="L17" s="33">
        <v>610</v>
      </c>
      <c r="M17" s="36">
        <v>610</v>
      </c>
      <c r="N17" s="47">
        <v>610</v>
      </c>
      <c r="O17" s="33">
        <v>610</v>
      </c>
      <c r="P17" s="33">
        <v>610</v>
      </c>
      <c r="Q17" s="10">
        <v>610</v>
      </c>
      <c r="R17" s="10">
        <v>610</v>
      </c>
      <c r="S17" s="10">
        <v>610</v>
      </c>
      <c r="T17" s="10">
        <v>610</v>
      </c>
      <c r="U17" s="10">
        <v>610</v>
      </c>
      <c r="V17" s="10">
        <v>610</v>
      </c>
    </row>
    <row r="18" spans="1:22" s="11" customFormat="1" ht="22" x14ac:dyDescent="0.3">
      <c r="A18" s="13" t="s">
        <v>35</v>
      </c>
      <c r="B18" s="13" t="s">
        <v>8</v>
      </c>
      <c r="C18" s="25">
        <v>440</v>
      </c>
      <c r="D18" s="25">
        <v>440</v>
      </c>
      <c r="E18" s="25">
        <v>440</v>
      </c>
      <c r="F18" s="25">
        <v>440</v>
      </c>
      <c r="G18" s="25">
        <v>440</v>
      </c>
      <c r="H18" s="25">
        <v>440</v>
      </c>
      <c r="I18" s="25">
        <v>440</v>
      </c>
      <c r="J18" s="25">
        <v>440</v>
      </c>
      <c r="K18" s="12">
        <v>440</v>
      </c>
      <c r="L18" s="32">
        <v>450</v>
      </c>
      <c r="M18" s="35">
        <v>450</v>
      </c>
      <c r="N18" s="32">
        <v>450</v>
      </c>
      <c r="O18" s="32">
        <v>450</v>
      </c>
      <c r="P18" s="32">
        <v>450</v>
      </c>
      <c r="Q18" s="12">
        <v>450</v>
      </c>
      <c r="R18" s="12">
        <v>450</v>
      </c>
      <c r="S18" s="12">
        <v>450</v>
      </c>
      <c r="T18" s="12">
        <v>450</v>
      </c>
      <c r="U18" s="12">
        <v>450</v>
      </c>
      <c r="V18" s="12">
        <v>450</v>
      </c>
    </row>
    <row r="19" spans="1:22" s="11" customFormat="1" ht="22" x14ac:dyDescent="0.3">
      <c r="A19" s="13" t="s">
        <v>35</v>
      </c>
      <c r="B19" s="9" t="s">
        <v>10</v>
      </c>
      <c r="C19" s="16">
        <v>3500</v>
      </c>
      <c r="D19" s="16">
        <v>3500</v>
      </c>
      <c r="E19" s="27">
        <v>3500</v>
      </c>
      <c r="F19" s="16">
        <v>3500</v>
      </c>
      <c r="G19" s="16">
        <v>3500</v>
      </c>
      <c r="H19" s="16">
        <v>4000</v>
      </c>
      <c r="I19" s="16">
        <v>4000</v>
      </c>
      <c r="J19" s="16">
        <v>3700</v>
      </c>
      <c r="K19" s="10">
        <v>3700</v>
      </c>
      <c r="L19" s="33">
        <v>3000</v>
      </c>
      <c r="M19" s="10">
        <v>3200</v>
      </c>
      <c r="N19" s="33">
        <v>4726</v>
      </c>
      <c r="O19" s="33">
        <v>3260</v>
      </c>
      <c r="P19" s="33">
        <v>4100</v>
      </c>
      <c r="Q19" s="10">
        <v>3200</v>
      </c>
      <c r="R19" s="10">
        <v>3200</v>
      </c>
      <c r="S19" s="10">
        <v>3200</v>
      </c>
      <c r="T19" s="10">
        <v>3200</v>
      </c>
      <c r="U19" s="10">
        <v>3200</v>
      </c>
      <c r="V19" s="10">
        <v>3200</v>
      </c>
    </row>
    <row r="20" spans="1:22" s="11" customFormat="1" ht="22" x14ac:dyDescent="0.3">
      <c r="A20" s="13" t="s">
        <v>35</v>
      </c>
      <c r="B20" s="13" t="s">
        <v>31</v>
      </c>
      <c r="C20" s="25">
        <v>1000</v>
      </c>
      <c r="D20" s="25">
        <v>1000</v>
      </c>
      <c r="E20" s="26">
        <v>1000</v>
      </c>
      <c r="F20" s="25">
        <v>1000</v>
      </c>
      <c r="G20" s="25">
        <v>1000</v>
      </c>
      <c r="H20" s="25">
        <v>1000</v>
      </c>
      <c r="I20" s="25">
        <v>1000</v>
      </c>
      <c r="J20" s="25">
        <v>1000</v>
      </c>
      <c r="K20" s="12">
        <v>1000</v>
      </c>
      <c r="L20" s="32">
        <v>1000</v>
      </c>
      <c r="M20" s="35">
        <v>1000</v>
      </c>
      <c r="N20" s="32">
        <v>1000</v>
      </c>
      <c r="O20" s="32">
        <v>1000</v>
      </c>
      <c r="P20" s="32">
        <v>1000</v>
      </c>
      <c r="Q20" s="32">
        <v>1000</v>
      </c>
      <c r="R20" s="12">
        <v>1000</v>
      </c>
      <c r="S20" s="12">
        <v>1000</v>
      </c>
      <c r="T20" s="12">
        <v>1000</v>
      </c>
      <c r="U20" s="12">
        <v>1000</v>
      </c>
      <c r="V20" s="12">
        <v>1000</v>
      </c>
    </row>
    <row r="21" spans="1:22" s="11" customFormat="1" ht="22" x14ac:dyDescent="0.3">
      <c r="A21" s="13" t="s">
        <v>35</v>
      </c>
      <c r="B21" s="9" t="s">
        <v>11</v>
      </c>
      <c r="C21" s="16">
        <v>1000</v>
      </c>
      <c r="D21" s="16">
        <v>1500</v>
      </c>
      <c r="E21" s="27">
        <v>250</v>
      </c>
      <c r="F21" s="16">
        <v>500</v>
      </c>
      <c r="G21" s="16">
        <v>900</v>
      </c>
      <c r="H21" s="16">
        <v>200</v>
      </c>
      <c r="I21" s="16">
        <v>150</v>
      </c>
      <c r="J21" s="16">
        <v>900</v>
      </c>
      <c r="K21" s="10">
        <v>900</v>
      </c>
      <c r="L21" s="36">
        <v>500</v>
      </c>
      <c r="M21" s="36">
        <v>500</v>
      </c>
      <c r="N21" s="33">
        <v>400</v>
      </c>
      <c r="O21" s="33">
        <v>400</v>
      </c>
      <c r="P21" s="33">
        <v>1000</v>
      </c>
      <c r="Q21" s="33">
        <v>400</v>
      </c>
      <c r="R21" s="10">
        <v>400</v>
      </c>
      <c r="S21" s="10">
        <v>400</v>
      </c>
      <c r="T21" s="10">
        <v>400</v>
      </c>
      <c r="U21" s="10">
        <v>400</v>
      </c>
      <c r="V21" s="10">
        <v>400</v>
      </c>
    </row>
    <row r="22" spans="1:22" s="11" customFormat="1" ht="22" x14ac:dyDescent="0.3">
      <c r="A22" s="13" t="s">
        <v>35</v>
      </c>
      <c r="B22" s="13" t="s">
        <v>50</v>
      </c>
      <c r="C22" s="25">
        <v>5000</v>
      </c>
      <c r="D22" s="25">
        <v>4300</v>
      </c>
      <c r="E22" s="25">
        <v>3000</v>
      </c>
      <c r="F22" s="25">
        <v>3500</v>
      </c>
      <c r="G22" s="25">
        <v>3200</v>
      </c>
      <c r="H22" s="25">
        <v>3000</v>
      </c>
      <c r="I22" s="25">
        <v>3500</v>
      </c>
      <c r="J22" s="25">
        <v>4000</v>
      </c>
      <c r="K22" s="12">
        <v>4000</v>
      </c>
      <c r="L22" s="37">
        <v>2600</v>
      </c>
      <c r="M22" s="37">
        <v>3700</v>
      </c>
      <c r="N22" s="12">
        <v>3400</v>
      </c>
      <c r="O22" s="32">
        <v>3500</v>
      </c>
      <c r="P22" s="12">
        <v>3700</v>
      </c>
      <c r="Q22" s="12">
        <v>3500</v>
      </c>
      <c r="R22" s="12">
        <v>3700</v>
      </c>
      <c r="S22" s="12">
        <v>3700</v>
      </c>
      <c r="T22" s="12">
        <v>3700</v>
      </c>
      <c r="U22" s="12">
        <v>3700</v>
      </c>
      <c r="V22" s="12">
        <v>3700</v>
      </c>
    </row>
    <row r="23" spans="1:22" s="11" customFormat="1" ht="22" x14ac:dyDescent="0.3">
      <c r="A23" s="13" t="s">
        <v>35</v>
      </c>
      <c r="B23" s="13" t="s">
        <v>32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12">
        <v>0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spans="1:22" s="3" customFormat="1" ht="22" x14ac:dyDescent="0.3">
      <c r="A24" s="13" t="s">
        <v>35</v>
      </c>
      <c r="B24" s="13" t="s">
        <v>20</v>
      </c>
      <c r="C24" s="25">
        <v>500</v>
      </c>
      <c r="D24" s="25">
        <v>200</v>
      </c>
      <c r="E24" s="25"/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12">
        <v>0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s="3" customFormat="1" ht="22" x14ac:dyDescent="0.3">
      <c r="A25" s="13" t="s">
        <v>35</v>
      </c>
      <c r="B25" s="9" t="s">
        <v>18</v>
      </c>
      <c r="C25" s="16">
        <v>1000</v>
      </c>
      <c r="D25" s="16">
        <v>1000</v>
      </c>
      <c r="E25" s="16">
        <v>0</v>
      </c>
      <c r="F25" s="16"/>
      <c r="G25" s="16">
        <v>500</v>
      </c>
      <c r="H25" s="16">
        <v>1000</v>
      </c>
      <c r="I25" s="16">
        <v>500</v>
      </c>
      <c r="J25" s="16">
        <v>500</v>
      </c>
      <c r="K25" s="10">
        <v>500</v>
      </c>
      <c r="L25" s="10"/>
      <c r="M25" s="10"/>
      <c r="N25" s="33">
        <v>1500</v>
      </c>
      <c r="O25" s="33">
        <v>1500</v>
      </c>
      <c r="P25" s="10"/>
      <c r="Q25" s="33">
        <v>500</v>
      </c>
      <c r="R25" s="10">
        <v>500</v>
      </c>
      <c r="S25" s="10">
        <v>500</v>
      </c>
      <c r="T25" s="10">
        <v>500</v>
      </c>
      <c r="U25" s="10">
        <v>500</v>
      </c>
      <c r="V25" s="10">
        <v>500</v>
      </c>
    </row>
    <row r="26" spans="1:22" s="3" customFormat="1" ht="22" x14ac:dyDescent="0.3">
      <c r="A26" s="13" t="s">
        <v>35</v>
      </c>
      <c r="B26" s="9" t="s">
        <v>30</v>
      </c>
      <c r="C26" s="16">
        <v>200</v>
      </c>
      <c r="D26" s="16">
        <v>200</v>
      </c>
      <c r="E26" s="27">
        <v>200</v>
      </c>
      <c r="F26" s="16">
        <v>200</v>
      </c>
      <c r="G26" s="16">
        <v>200</v>
      </c>
      <c r="H26" s="16">
        <v>0</v>
      </c>
      <c r="I26" s="16">
        <v>200</v>
      </c>
      <c r="J26" s="16">
        <v>200</v>
      </c>
      <c r="K26" s="10">
        <v>200</v>
      </c>
      <c r="L26" s="33">
        <v>900</v>
      </c>
      <c r="M26" s="36">
        <v>400</v>
      </c>
      <c r="N26" s="33">
        <v>400</v>
      </c>
      <c r="O26" s="33">
        <v>400</v>
      </c>
      <c r="P26" s="33">
        <v>400</v>
      </c>
      <c r="Q26" s="33">
        <v>400</v>
      </c>
      <c r="R26" s="10">
        <v>400</v>
      </c>
      <c r="S26" s="10">
        <v>400</v>
      </c>
      <c r="T26" s="10">
        <v>400</v>
      </c>
      <c r="U26" s="10">
        <v>400</v>
      </c>
      <c r="V26" s="10">
        <v>400</v>
      </c>
    </row>
    <row r="27" spans="1:22" s="3" customFormat="1" ht="22" x14ac:dyDescent="0.3">
      <c r="A27" s="13" t="s">
        <v>35</v>
      </c>
      <c r="B27" s="9" t="s">
        <v>15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0">
        <v>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1:22" s="3" customFormat="1" ht="22" x14ac:dyDescent="0.3">
      <c r="A28" s="13" t="s">
        <v>35</v>
      </c>
      <c r="B28" s="13" t="s">
        <v>52</v>
      </c>
      <c r="C28" s="25"/>
      <c r="D28" s="25"/>
      <c r="E28" s="26">
        <v>640</v>
      </c>
      <c r="F28" s="25">
        <v>0</v>
      </c>
      <c r="G28" s="25">
        <v>0</v>
      </c>
      <c r="H28" s="25">
        <v>0</v>
      </c>
      <c r="I28" s="25">
        <v>0</v>
      </c>
      <c r="J28" s="25">
        <v>500</v>
      </c>
      <c r="K28" s="12">
        <v>500</v>
      </c>
      <c r="L28" s="32">
        <v>432</v>
      </c>
      <c r="M28" s="12"/>
      <c r="N28" s="12"/>
      <c r="O28" s="12"/>
      <c r="P28" s="12"/>
      <c r="Q28" s="12">
        <v>630</v>
      </c>
      <c r="R28" s="12"/>
      <c r="S28" s="12"/>
      <c r="T28" s="12"/>
      <c r="U28" s="12"/>
      <c r="V28" s="12"/>
    </row>
    <row r="29" spans="1:22" s="3" customFormat="1" ht="22" x14ac:dyDescent="0.3">
      <c r="A29" s="13" t="s">
        <v>35</v>
      </c>
      <c r="B29" s="13" t="s">
        <v>14</v>
      </c>
      <c r="C29" s="25"/>
      <c r="D29" s="25"/>
      <c r="E29" s="25">
        <v>600</v>
      </c>
      <c r="F29" s="25">
        <v>600</v>
      </c>
      <c r="G29" s="25"/>
      <c r="H29" s="25">
        <v>580</v>
      </c>
      <c r="I29" s="25"/>
      <c r="J29" s="25"/>
      <c r="K29" s="12"/>
      <c r="L29" s="12"/>
      <c r="M29" s="12"/>
      <c r="N29" s="12"/>
      <c r="O29" s="12"/>
      <c r="P29" s="12"/>
      <c r="Q29" s="32">
        <v>250</v>
      </c>
      <c r="R29" s="12"/>
      <c r="S29" s="12"/>
      <c r="T29" s="12"/>
      <c r="U29" s="12"/>
      <c r="V29" s="12"/>
    </row>
    <row r="30" spans="1:22" s="3" customFormat="1" ht="22" x14ac:dyDescent="0.3">
      <c r="A30" s="13" t="s">
        <v>35</v>
      </c>
      <c r="B30" s="13" t="s">
        <v>57</v>
      </c>
      <c r="C30" s="25"/>
      <c r="D30" s="25"/>
      <c r="E30" s="25"/>
      <c r="F30" s="25"/>
      <c r="G30" s="25"/>
      <c r="H30" s="25"/>
      <c r="I30" s="28">
        <v>2227</v>
      </c>
      <c r="J30" s="25"/>
      <c r="K30" s="12"/>
      <c r="L30" s="12"/>
      <c r="M30" s="12"/>
      <c r="N30" s="12"/>
      <c r="O30" s="12"/>
      <c r="P30" s="12"/>
      <c r="Q30" s="12">
        <v>1090</v>
      </c>
      <c r="R30" s="12"/>
      <c r="S30" s="12"/>
      <c r="T30" s="12"/>
      <c r="U30" s="12"/>
      <c r="V30" s="12"/>
    </row>
    <row r="31" spans="1:22" s="3" customFormat="1" ht="22" x14ac:dyDescent="0.3">
      <c r="A31" s="13" t="s">
        <v>35</v>
      </c>
      <c r="B31" s="13" t="s">
        <v>58</v>
      </c>
      <c r="C31" s="25"/>
      <c r="D31" s="25"/>
      <c r="E31" s="25"/>
      <c r="F31" s="25"/>
      <c r="G31" s="25"/>
      <c r="H31" s="25"/>
      <c r="I31" s="25">
        <v>2065</v>
      </c>
      <c r="J31" s="25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>
        <v>2000</v>
      </c>
      <c r="V31" s="12"/>
    </row>
    <row r="32" spans="1:22" s="3" customFormat="1" ht="22" x14ac:dyDescent="0.3">
      <c r="A32" s="13" t="s">
        <v>35</v>
      </c>
      <c r="B32" s="13" t="s">
        <v>51</v>
      </c>
      <c r="C32" s="25"/>
      <c r="D32" s="25"/>
      <c r="E32" s="25"/>
      <c r="F32" s="25"/>
      <c r="G32" s="25"/>
      <c r="H32" s="25"/>
      <c r="I32" s="25"/>
      <c r="J32" s="25"/>
      <c r="K32" s="12"/>
      <c r="L32" s="12"/>
      <c r="M32" s="12">
        <v>900</v>
      </c>
      <c r="N32" s="32">
        <v>500</v>
      </c>
      <c r="O32" s="32">
        <v>500</v>
      </c>
      <c r="P32" s="32">
        <v>500</v>
      </c>
      <c r="Q32" s="32">
        <v>900</v>
      </c>
      <c r="R32" s="12">
        <v>900</v>
      </c>
      <c r="S32" s="12">
        <v>900</v>
      </c>
      <c r="T32" s="12">
        <v>900</v>
      </c>
      <c r="U32" s="12">
        <v>900</v>
      </c>
      <c r="V32" s="12">
        <v>900</v>
      </c>
    </row>
    <row r="33" spans="1:22" s="3" customFormat="1" ht="22" x14ac:dyDescent="0.3">
      <c r="A33" s="13" t="s">
        <v>35</v>
      </c>
      <c r="B33" s="13" t="s">
        <v>53</v>
      </c>
      <c r="C33" s="25"/>
      <c r="D33" s="25"/>
      <c r="E33" s="25"/>
      <c r="F33" s="25">
        <v>500</v>
      </c>
      <c r="G33" s="25">
        <v>500</v>
      </c>
      <c r="H33" s="25"/>
      <c r="I33" s="25"/>
      <c r="J33" s="25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s="3" customFormat="1" ht="22" x14ac:dyDescent="0.3">
      <c r="A34" s="13" t="s">
        <v>35</v>
      </c>
      <c r="B34" s="13" t="s">
        <v>3</v>
      </c>
      <c r="C34" s="25">
        <v>3100</v>
      </c>
      <c r="D34" s="25">
        <v>1700</v>
      </c>
      <c r="E34" s="25">
        <v>1820</v>
      </c>
      <c r="F34" s="25">
        <v>1820</v>
      </c>
      <c r="G34" s="25">
        <v>0</v>
      </c>
      <c r="H34" s="25">
        <v>0</v>
      </c>
      <c r="I34" s="25">
        <v>0</v>
      </c>
      <c r="J34" s="25">
        <v>0</v>
      </c>
      <c r="K34" s="12">
        <v>0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s="11" customFormat="1" ht="22" x14ac:dyDescent="0.3">
      <c r="A35" s="13" t="s">
        <v>35</v>
      </c>
      <c r="B35" s="13" t="s">
        <v>12</v>
      </c>
      <c r="C35" s="25">
        <v>600</v>
      </c>
      <c r="D35" s="25">
        <v>600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12">
        <v>0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s="3" customFormat="1" ht="22" x14ac:dyDescent="0.3">
      <c r="A36" s="13" t="s">
        <v>35</v>
      </c>
      <c r="B36" s="13" t="s">
        <v>55</v>
      </c>
      <c r="C36" s="25"/>
      <c r="D36" s="25"/>
      <c r="E36" s="25"/>
      <c r="F36" s="25"/>
      <c r="G36" s="25"/>
      <c r="H36" s="25"/>
      <c r="I36" s="25"/>
      <c r="J36" s="25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s="3" customFormat="1" ht="22" x14ac:dyDescent="0.3">
      <c r="A37" s="13" t="s">
        <v>35</v>
      </c>
      <c r="B37" s="13" t="s">
        <v>102</v>
      </c>
      <c r="C37" s="25"/>
      <c r="D37" s="25"/>
      <c r="E37" s="25"/>
      <c r="F37" s="25"/>
      <c r="G37" s="25"/>
      <c r="H37" s="25"/>
      <c r="I37" s="25"/>
      <c r="J37" s="25"/>
      <c r="K37" s="12"/>
      <c r="L37" s="12"/>
      <c r="M37" s="12"/>
      <c r="N37" s="32">
        <v>200</v>
      </c>
      <c r="O37" s="32">
        <v>200</v>
      </c>
      <c r="P37" s="32">
        <v>200</v>
      </c>
      <c r="Q37" s="32">
        <v>200</v>
      </c>
      <c r="R37" s="12">
        <v>200</v>
      </c>
      <c r="S37" s="12">
        <v>200</v>
      </c>
      <c r="T37" s="12">
        <v>200</v>
      </c>
      <c r="U37" s="12">
        <v>200</v>
      </c>
      <c r="V37" s="12">
        <v>200</v>
      </c>
    </row>
    <row r="38" spans="1:22" s="3" customFormat="1" ht="22" x14ac:dyDescent="0.3">
      <c r="A38" s="13" t="s">
        <v>35</v>
      </c>
      <c r="B38" s="13" t="s">
        <v>59</v>
      </c>
      <c r="C38" s="25"/>
      <c r="D38" s="25"/>
      <c r="E38" s="25"/>
      <c r="F38" s="25"/>
      <c r="G38" s="25"/>
      <c r="H38" s="25"/>
      <c r="I38" s="25"/>
      <c r="J38" s="25"/>
      <c r="K38" s="12"/>
      <c r="L38" s="32">
        <v>700</v>
      </c>
      <c r="M38" s="12"/>
      <c r="N38" s="12"/>
      <c r="O38" s="12">
        <v>700</v>
      </c>
      <c r="P38" s="12"/>
      <c r="Q38" s="12"/>
      <c r="R38" s="12"/>
      <c r="S38" s="12">
        <v>700</v>
      </c>
      <c r="T38" s="12"/>
      <c r="U38" s="12"/>
      <c r="V38" s="12"/>
    </row>
    <row r="39" spans="1:22" s="3" customFormat="1" ht="22" x14ac:dyDescent="0.3">
      <c r="A39" s="13" t="s">
        <v>35</v>
      </c>
      <c r="B39" s="13" t="s">
        <v>104</v>
      </c>
      <c r="C39" s="25"/>
      <c r="D39" s="25"/>
      <c r="E39" s="25"/>
      <c r="F39" s="25"/>
      <c r="G39" s="25"/>
      <c r="H39" s="25"/>
      <c r="I39" s="25"/>
      <c r="J39" s="25"/>
      <c r="K39" s="12"/>
      <c r="L39" s="12"/>
      <c r="M39" s="12"/>
      <c r="N39" s="12"/>
      <c r="O39" s="12"/>
      <c r="P39" s="12"/>
      <c r="Q39" s="12">
        <v>500</v>
      </c>
      <c r="R39" s="12"/>
      <c r="S39" s="12"/>
      <c r="T39" s="12"/>
      <c r="U39" s="12"/>
      <c r="V39" s="12"/>
    </row>
    <row r="40" spans="1:22" s="3" customFormat="1" ht="22" x14ac:dyDescent="0.3">
      <c r="A40" s="13" t="s">
        <v>35</v>
      </c>
      <c r="B40" s="13" t="s">
        <v>19</v>
      </c>
      <c r="C40" s="25">
        <v>0</v>
      </c>
      <c r="D40" s="25">
        <v>500</v>
      </c>
      <c r="E40" s="25"/>
      <c r="F40" s="25"/>
      <c r="G40" s="29">
        <v>5000</v>
      </c>
      <c r="H40" s="25"/>
      <c r="I40" s="25"/>
      <c r="J40" s="25">
        <v>3000</v>
      </c>
      <c r="K40" s="12">
        <v>3000</v>
      </c>
      <c r="L40" s="32">
        <v>200</v>
      </c>
      <c r="M40" s="35">
        <v>500</v>
      </c>
      <c r="N40" s="32">
        <v>850</v>
      </c>
      <c r="O40" s="32">
        <v>900</v>
      </c>
      <c r="P40" s="32">
        <v>1000</v>
      </c>
      <c r="Q40" s="32">
        <v>1000</v>
      </c>
      <c r="R40" s="14">
        <v>800</v>
      </c>
      <c r="S40" s="14">
        <v>1000</v>
      </c>
      <c r="T40" s="14">
        <v>1000</v>
      </c>
      <c r="U40" s="14">
        <v>1000</v>
      </c>
      <c r="V40" s="14">
        <v>1000</v>
      </c>
    </row>
    <row r="41" spans="1:22" ht="22" x14ac:dyDescent="0.3">
      <c r="A41" s="30" t="s">
        <v>48</v>
      </c>
      <c r="B41" s="30" t="s">
        <v>0</v>
      </c>
      <c r="C41" s="31">
        <f>SUMIF('Jeanre Transactional'!$A$2:$A$41,"Credit", 'Jeanre Transactional'!$C$2:$C$41)-SUMIF('Jeanre Transactional'!$A$2:$A$41,"Debit", 'Jeanre Transactional'!$C$2:$C$41)</f>
        <v>538</v>
      </c>
      <c r="D41" s="31">
        <f>SUMIF('Jeanre Transactional'!$A$2:$A$41,"Credit", 'Jeanre Transactional'!$D$2:$D$41)-SUMIF('Jeanre Transactional'!$A$2:$A$41,"Debit", 'Jeanre Transactional'!$D$2:$D$41)</f>
        <v>1502</v>
      </c>
      <c r="E41" s="31">
        <f>SUMIF('Jeanre Transactional'!$A$2:$A$41,"Credit", 'Jeanre Transactional'!$E$2:$E$41)-SUMIF('Jeanre Transactional'!$A$2:$A$41,"Debit", 'Jeanre Transactional'!$E$2:$E$41)</f>
        <v>142</v>
      </c>
      <c r="F41" s="31">
        <f>SUMIF('Jeanre Transactional'!$A$2:$A$41,"Credit", 'Jeanre Transactional'!$F$2:$F$41)-SUMIF('Jeanre Transactional'!$A$2:$A$41,"Debit", 'Jeanre Transactional'!$F$2:$F$41)</f>
        <v>-168</v>
      </c>
      <c r="G41" s="31">
        <f>SUMIF('Jeanre Transactional'!$A$2:$A$41,"Credit", 'Jeanre Transactional'!$G$2:$G$41)-SUMIF('Jeanre Transactional'!$A$2:$A$41,"Debit", 'Jeanre Transactional'!$G$2:$G$41)</f>
        <v>1982</v>
      </c>
      <c r="H41" s="31">
        <f>SUMIF('Jeanre Transactional'!$A$2:$A$41,"Credit", 'Jeanre Transactional'!$H$2:$H$41)-SUMIF('Jeanre Transactional'!$A$2:$A$41,"Debit", 'Jeanre Transactional'!$H$2:$H$41)</f>
        <v>-473</v>
      </c>
      <c r="I41" s="31">
        <f>SUMIF('Jeanre Transactional'!$A$2:$A$41,"Credit", 'Jeanre Transactional'!$I$2:$I$41)-SUMIF('Jeanre Transactional'!$A$2:$A$41,"Debit", 'Jeanre Transactional'!$I$2:$I$41)</f>
        <v>65</v>
      </c>
      <c r="J41" s="31">
        <f>SUMIF('Jeanre Transactional'!$A$2:$A$41,"Credit", 'Jeanre Transactional'!$J$2:$J$41)-SUMIF('Jeanre Transactional'!$A$2:$A$41,"Debit", 'Jeanre Transactional'!$J$2:$J$41)</f>
        <v>-174</v>
      </c>
      <c r="K41" s="5">
        <f>SUMIF(jtrn[Movement], "Credit", jtrn[2025-01-01]) - SUMIF(jtrn[Movement], "Debit", jtrn[2025-01-01])</f>
        <v>-174</v>
      </c>
      <c r="L41" s="5">
        <f>SUMIF(jtrn[Movement], "Credit", jtrn[2025-02-01]) - SUMIF(jtrn[Movement], "Debit", jtrn[2025-02-01])</f>
        <v>10</v>
      </c>
      <c r="M41" s="5">
        <f>SUMIF(jtrn[Movement], "Credit", jtrn[2025-03-01]) - SUMIF(jtrn[Movement], "Debit", jtrn[2025-03-01])</f>
        <v>614</v>
      </c>
      <c r="N41" s="5">
        <f>SUMIF(jtrn[Movement], "Credit", jtrn[2025-04-01]) - SUMIF(jtrn[Movement], "Debit", jtrn[2025-04-01])</f>
        <v>16</v>
      </c>
      <c r="O41" s="5">
        <f>SUMIF(jtrn[Movement], "Credit", jtrn[2025-05-01]) - SUMIF(jtrn[Movement], "Debit", jtrn[2025-05-01])</f>
        <v>530</v>
      </c>
      <c r="P41" s="5">
        <f>SUMIF(jtrn[Movement], "Credit", jtrn[2025-06-01]) - SUMIF(jtrn[Movement], "Debit", jtrn[2025-06-01])</f>
        <v>1359</v>
      </c>
      <c r="Q41" s="5">
        <f>SUMIF(jtrn[Movement], "Credit", jtrn[2025-07-01]) - SUMIF(jtrn[Movement], "Debit", jtrn[2025-07-01])</f>
        <v>135</v>
      </c>
      <c r="R41" s="5">
        <f>SUMIF(jtrn[Movement], "Credit", jtrn[2025-08-01]) - SUMIF(jtrn[Movement], "Debit", jtrn[2025-08-01])</f>
        <v>1090</v>
      </c>
      <c r="S41" s="5">
        <f>SUMIF(jtrn[Movement], "Credit", jtrn[2025-09-01]) - SUMIF(jtrn[Movement], "Debit", jtrn[2025-09-01])</f>
        <v>6145</v>
      </c>
      <c r="T41" s="5">
        <f>SUMIF(jtrn[Movement], "Credit", jtrn[2025-10-01]) - SUMIF(jtrn[Movement], "Debit", jtrn[2025-10-01])</f>
        <v>6900</v>
      </c>
      <c r="U41" s="5">
        <f>SUMIF(jtrn[Movement], "Credit", jtrn[2025-11-01]) - SUMIF(jtrn[Movement], "Debit", jtrn[2025-11-01])</f>
        <v>5655</v>
      </c>
      <c r="V41" s="5">
        <f>SUMIF(jtrn[Movement], "Credit", jtrn[2025-12-01]) - SUMIF(jtrn[Movement], "Debit", jtrn[2025-12-01])</f>
        <v>6410</v>
      </c>
    </row>
    <row r="42" spans="1:22" ht="22" x14ac:dyDescent="0.3">
      <c r="A42" s="30" t="s">
        <v>101</v>
      </c>
      <c r="B42" s="30" t="s">
        <v>0</v>
      </c>
      <c r="C42" s="31">
        <f>SUMIF('Jeanre Transactional'!$A$2:$A$41,"Credit", 'Jeanre Transactional'!$C$2:$C$41)-SUMIF('Jeanre Transactional'!$A$2:$A$41,"Debit", 'Jeanre Transactional'!$C$2:$C$41)</f>
        <v>538</v>
      </c>
      <c r="D42" s="31">
        <f>SUMIF('Jeanre Transactional'!$A$2:$A$41,"Credit", 'Jeanre Transactional'!$D$2:$D$41)-SUMIF('Jeanre Transactional'!$A$2:$A$41,"Debit", 'Jeanre Transactional'!$D$2:$D$41)</f>
        <v>1502</v>
      </c>
      <c r="E42" s="31">
        <f>SUMIF('Jeanre Transactional'!$A$2:$A$41,"Credit", 'Jeanre Transactional'!$E$2:$E$41)-SUMIF('Jeanre Transactional'!$A$2:$A$41,"Debit", 'Jeanre Transactional'!$E$2:$E$41)</f>
        <v>142</v>
      </c>
      <c r="F42" s="31">
        <f>SUMIF('Jeanre Transactional'!$A$2:$A$41,"Credit", 'Jeanre Transactional'!$F$2:$F$41)-SUMIF('Jeanre Transactional'!$A$2:$A$41,"Debit", 'Jeanre Transactional'!$F$2:$F$41)</f>
        <v>-168</v>
      </c>
      <c r="G42" s="31">
        <f>SUMIF('Jeanre Transactional'!$A$2:$A$41,"Credit", 'Jeanre Transactional'!$G$2:$G$41)-SUMIF('Jeanre Transactional'!$A$2:$A$41,"Debit", 'Jeanre Transactional'!$G$2:$G$41)</f>
        <v>1982</v>
      </c>
      <c r="H42" s="31">
        <f>SUMIF('Jeanre Transactional'!$A$2:$A$41,"Credit", 'Jeanre Transactional'!$H$2:$H$41)-SUMIF('Jeanre Transactional'!$A$2:$A$41,"Debit", 'Jeanre Transactional'!$H$2:$H$41)</f>
        <v>-473</v>
      </c>
      <c r="I42" s="31">
        <f>SUMIF('Jeanre Transactional'!$A$2:$A$41,"Credit", 'Jeanre Transactional'!$I$2:$I$41)-SUMIF('Jeanre Transactional'!$A$2:$A$41,"Debit", 'Jeanre Transactional'!$I$2:$I$41)</f>
        <v>65</v>
      </c>
      <c r="J42" s="31">
        <f>SUMIF('Jeanre Transactional'!$A$2:$A$41,"Credit", 'Jeanre Transactional'!$J$2:$J$41)-SUMIF('Jeanre Transactional'!$A$2:$A$41,"Debit", 'Jeanre Transactional'!$J$2:$J$41)</f>
        <v>-174</v>
      </c>
      <c r="K42" s="5">
        <f>SUMIF(jtrn[Movement], "Credit", jtrn[2025-01-01]) - SUMIF(jtrn[Movement], "Debit", jtrn[2025-01-01])</f>
        <v>-174</v>
      </c>
      <c r="L42" s="5">
        <f>SUMIF(jtrn[Movement], "Credit", jtrn[2025-02-01]) - SUMIF(jtrn[Movement], "Debit", jtrn[2025-02-01])</f>
        <v>10</v>
      </c>
      <c r="M42" s="5">
        <f>SUMIF(jtrn[Movement], "Credit", jtrn[2025-03-01]) - SUMIF(jtrn[Movement], "Debit", jtrn[2025-03-01]) - SUMIF(jtrn[Account Secondary], "Retained Balance", jtrn[2025-03-01])</f>
        <v>355</v>
      </c>
      <c r="N42" s="5">
        <f>SUMIF(jtrn[Movement], "Credit", jtrn[2025-04-01]) - SUMIF(jtrn[Movement], "Debit", jtrn[2025-04-01])- SUMIF(jtrn[Account Secondary], "Retained Balance", jtrn[2025-04-01])</f>
        <v>-121</v>
      </c>
      <c r="O42" s="5">
        <f>SUMIF(jtrn[Movement], "Credit", jtrn[2025-05-01]) - SUMIF(jtrn[Movement], "Debit", jtrn[2025-05-01])- SUMIF(jtrn[Account Secondary], "Retained Balance", jtrn[2025-05-01])</f>
        <v>530</v>
      </c>
      <c r="P42" s="5">
        <f>SUMIF(jtrn[Movement], "Credit", jtrn[2025-06-01]) - SUMIF(jtrn[Movement], "Debit", jtrn[2025-06-01])- SUMIF(jtrn[Account Secondary], "Retained Balance", jtrn[2025-06-01])</f>
        <v>335</v>
      </c>
      <c r="Q42" s="5">
        <f>SUMIF(jtrn[Movement], "Credit", jtrn[2025-07-01]) - SUMIF(jtrn[Movement], "Debit", jtrn[2025-07-01])- SUMIF(jtrn[Account Secondary], "Retained Balance", jtrn[2025-07-01])</f>
        <v>-765</v>
      </c>
      <c r="R42" s="5">
        <f>SUMIF(jtrn[Movement], "Credit", jtrn[2025-08-01]) - SUMIF(jtrn[Movement], "Debit", jtrn[2025-08-01])- SUMIF(jtrn[Account Secondary], "Retained Balance", jtrn[2025-08-01])</f>
        <v>955</v>
      </c>
      <c r="S42" s="5">
        <f>SUMIF(jtrn[Movement], "Credit", jtrn[2025-09-01]) - SUMIF(jtrn[Movement], "Debit", jtrn[2025-09-01])- SUMIF(jtrn[Account Secondary], "Retained Balance", jtrn[2025-09-01])</f>
        <v>5055</v>
      </c>
      <c r="T42" s="5">
        <f>SUMIF(jtrn[Movement], "Credit", jtrn[2025-10-01]) - SUMIF(jtrn[Movement], "Debit", jtrn[2025-10-01])- SUMIF(jtrn[Account Secondary], "Retained Balance", jtrn[2025-10-01])</f>
        <v>755</v>
      </c>
      <c r="U42" s="5">
        <f>SUMIF(jtrn[Movement], "Credit", jtrn[2025-11-01]) - SUMIF(jtrn[Movement], "Debit", jtrn[2025-11-01])- SUMIF(jtrn[Account Secondary], "Retained Balance", jtrn[2025-11-01])</f>
        <v>-1245</v>
      </c>
      <c r="V42" s="5">
        <f>SUMIF(jtrn[Movement], "Credit", jtrn[2025-12-01]) - SUMIF(jtrn[Movement], "Debit", jtrn[2025-12-01])- SUMIF(jtrn[Account Secondary], "Retained Balance", jtrn[2025-12-01])</f>
        <v>755</v>
      </c>
    </row>
    <row r="46" spans="1:22" x14ac:dyDescent="0.2">
      <c r="O46" s="1" t="s">
        <v>103</v>
      </c>
    </row>
    <row r="51" spans="2:19" x14ac:dyDescent="0.2">
      <c r="B51" s="38" t="s">
        <v>61</v>
      </c>
      <c r="C51" s="39"/>
      <c r="D51" s="38"/>
      <c r="E51" s="38"/>
      <c r="F51" s="39"/>
      <c r="G51" s="39"/>
      <c r="H51" s="39"/>
      <c r="I51" s="39"/>
      <c r="J51" s="39"/>
      <c r="K51" s="39"/>
      <c r="L51" s="39"/>
      <c r="M51" s="38">
        <v>3700</v>
      </c>
    </row>
    <row r="52" spans="2:19" x14ac:dyDescent="0.2">
      <c r="B52" s="39" t="s">
        <v>60</v>
      </c>
      <c r="C52" s="39"/>
      <c r="D52" s="38"/>
      <c r="E52" s="38"/>
      <c r="F52" s="39"/>
      <c r="G52" s="39"/>
      <c r="H52" s="39"/>
      <c r="I52" s="39"/>
      <c r="J52" s="39"/>
      <c r="K52" s="39"/>
      <c r="L52" s="39"/>
      <c r="M52" s="39">
        <v>1600</v>
      </c>
      <c r="P52" t="s">
        <v>60</v>
      </c>
      <c r="Q52">
        <v>1600</v>
      </c>
      <c r="R52" t="s">
        <v>66</v>
      </c>
    </row>
    <row r="53" spans="2:19" x14ac:dyDescent="0.2">
      <c r="B53" s="39" t="s">
        <v>62</v>
      </c>
      <c r="C53" s="39"/>
      <c r="D53" s="38"/>
      <c r="E53" s="38"/>
      <c r="F53" s="39"/>
      <c r="G53" s="39"/>
      <c r="H53" s="39"/>
      <c r="I53" s="39"/>
      <c r="J53" s="39"/>
      <c r="K53" s="39"/>
      <c r="L53" s="39"/>
      <c r="M53" s="39">
        <v>1000</v>
      </c>
      <c r="P53" t="s">
        <v>67</v>
      </c>
      <c r="Q53">
        <v>3510</v>
      </c>
      <c r="R53" t="s">
        <v>66</v>
      </c>
    </row>
    <row r="54" spans="2:19" x14ac:dyDescent="0.2">
      <c r="B54" s="39" t="s">
        <v>63</v>
      </c>
      <c r="C54" s="39"/>
      <c r="D54" s="38"/>
      <c r="E54" s="38"/>
      <c r="F54" s="39"/>
      <c r="G54" s="39"/>
      <c r="H54" s="39"/>
      <c r="I54" s="39"/>
      <c r="J54" s="39"/>
      <c r="K54" s="39"/>
      <c r="L54" s="39"/>
      <c r="M54" s="39"/>
      <c r="P54" t="s">
        <v>68</v>
      </c>
      <c r="Q54">
        <v>90</v>
      </c>
      <c r="R54" t="s">
        <v>66</v>
      </c>
    </row>
    <row r="55" spans="2:19" ht="17" thickBot="1" x14ac:dyDescent="0.25">
      <c r="B55" s="42" t="s">
        <v>64</v>
      </c>
      <c r="C55" s="42"/>
      <c r="D55" s="43"/>
      <c r="E55" s="43"/>
      <c r="F55" s="42"/>
      <c r="G55" s="42"/>
      <c r="H55" s="42"/>
      <c r="I55" s="42"/>
      <c r="J55" s="42"/>
      <c r="K55" s="42"/>
      <c r="L55" s="42"/>
      <c r="M55" s="42">
        <v>800</v>
      </c>
      <c r="P55" t="s">
        <v>69</v>
      </c>
      <c r="Q55">
        <v>60</v>
      </c>
      <c r="R55" t="s">
        <v>66</v>
      </c>
    </row>
    <row r="56" spans="2:19" ht="17" thickTop="1" x14ac:dyDescent="0.2">
      <c r="B56" s="40" t="s">
        <v>65</v>
      </c>
      <c r="C56" s="40"/>
      <c r="D56" s="41"/>
      <c r="E56" s="41"/>
      <c r="F56" s="40"/>
      <c r="G56" s="40"/>
      <c r="H56" s="40"/>
      <c r="I56" s="40"/>
      <c r="J56" s="40"/>
      <c r="K56" s="40"/>
      <c r="L56" s="40"/>
      <c r="M56" s="40">
        <f>M51-SUM(M52:M55)</f>
        <v>300</v>
      </c>
      <c r="P56" t="s">
        <v>70</v>
      </c>
      <c r="Q56">
        <v>170</v>
      </c>
      <c r="R56" t="s">
        <v>66</v>
      </c>
    </row>
    <row r="57" spans="2:19" x14ac:dyDescent="0.2">
      <c r="P57" t="s">
        <v>71</v>
      </c>
      <c r="Q57">
        <v>50</v>
      </c>
      <c r="R57" t="s">
        <v>66</v>
      </c>
    </row>
    <row r="58" spans="2:19" x14ac:dyDescent="0.2">
      <c r="P58" t="s">
        <v>72</v>
      </c>
      <c r="Q58">
        <v>290</v>
      </c>
      <c r="R58" t="s">
        <v>66</v>
      </c>
    </row>
    <row r="59" spans="2:19" x14ac:dyDescent="0.2">
      <c r="I59">
        <f>SUMIF('Jeanre Transactional'!$A$2:$A$41,"Credit", 'Jeanre Transactional'!$J$2:$J$41)-SUMIF('Jeanre Transactional'!$A$2:$A$41,"Debit", 'Jeanre Transactional'!$J$2:$J$41)</f>
        <v>-174</v>
      </c>
      <c r="P59" s="45" t="s">
        <v>73</v>
      </c>
      <c r="Q59" s="45">
        <v>500</v>
      </c>
      <c r="R59" s="45" t="s">
        <v>66</v>
      </c>
      <c r="S59" s="45" t="s">
        <v>80</v>
      </c>
    </row>
    <row r="60" spans="2:19" x14ac:dyDescent="0.2">
      <c r="P60" t="s">
        <v>74</v>
      </c>
      <c r="Q60">
        <v>304</v>
      </c>
      <c r="R60" t="s">
        <v>66</v>
      </c>
    </row>
    <row r="61" spans="2:19" x14ac:dyDescent="0.2">
      <c r="P61" t="s">
        <v>71</v>
      </c>
      <c r="Q61">
        <v>12</v>
      </c>
      <c r="R61" t="s">
        <v>66</v>
      </c>
    </row>
    <row r="62" spans="2:19" x14ac:dyDescent="0.2">
      <c r="P62" t="s">
        <v>75</v>
      </c>
      <c r="Q62">
        <v>110</v>
      </c>
      <c r="R62" t="s">
        <v>66</v>
      </c>
    </row>
    <row r="63" spans="2:19" x14ac:dyDescent="0.2">
      <c r="P63" t="s">
        <v>76</v>
      </c>
      <c r="Q63">
        <v>320</v>
      </c>
      <c r="R63" t="s">
        <v>66</v>
      </c>
      <c r="S63" t="s">
        <v>97</v>
      </c>
    </row>
    <row r="64" spans="2:19" x14ac:dyDescent="0.2">
      <c r="P64" t="s">
        <v>77</v>
      </c>
      <c r="Q64">
        <v>500</v>
      </c>
      <c r="R64" t="s">
        <v>66</v>
      </c>
    </row>
    <row r="65" spans="16:29" x14ac:dyDescent="0.2">
      <c r="P65" t="s">
        <v>78</v>
      </c>
      <c r="Q65">
        <v>41</v>
      </c>
      <c r="R65" t="s">
        <v>66</v>
      </c>
    </row>
    <row r="66" spans="16:29" x14ac:dyDescent="0.2">
      <c r="P66" t="s">
        <v>79</v>
      </c>
      <c r="Q66">
        <v>154</v>
      </c>
      <c r="R66" t="s">
        <v>66</v>
      </c>
      <c r="S66" t="s">
        <v>89</v>
      </c>
    </row>
    <row r="67" spans="16:29" x14ac:dyDescent="0.2">
      <c r="P67" t="s">
        <v>69</v>
      </c>
      <c r="Q67">
        <v>451</v>
      </c>
      <c r="R67" t="s">
        <v>81</v>
      </c>
    </row>
    <row r="68" spans="16:29" x14ac:dyDescent="0.2">
      <c r="P68" t="s">
        <v>82</v>
      </c>
      <c r="Q68">
        <v>1382</v>
      </c>
      <c r="R68" t="s">
        <v>81</v>
      </c>
    </row>
    <row r="69" spans="16:29" x14ac:dyDescent="0.2">
      <c r="P69" t="s">
        <v>83</v>
      </c>
      <c r="Q69">
        <v>40</v>
      </c>
      <c r="R69" t="s">
        <v>81</v>
      </c>
      <c r="S69" t="s">
        <v>88</v>
      </c>
      <c r="T69" s="44" t="s">
        <v>90</v>
      </c>
      <c r="X69" t="s">
        <v>91</v>
      </c>
      <c r="Y69">
        <v>646</v>
      </c>
    </row>
    <row r="70" spans="16:29" x14ac:dyDescent="0.2">
      <c r="X70" s="44" t="s">
        <v>92</v>
      </c>
      <c r="Y70" s="44">
        <v>2627</v>
      </c>
      <c r="Z70" s="44" t="s">
        <v>98</v>
      </c>
      <c r="AA70" s="44"/>
    </row>
    <row r="71" spans="16:29" x14ac:dyDescent="0.2">
      <c r="Y71">
        <f>SUM(Y69:Y70)</f>
        <v>3273</v>
      </c>
    </row>
    <row r="74" spans="16:29" x14ac:dyDescent="0.2">
      <c r="P74" t="s">
        <v>61</v>
      </c>
      <c r="Q74">
        <f>SUM(Q52:Q69)</f>
        <v>9584</v>
      </c>
      <c r="S74" t="s">
        <v>84</v>
      </c>
    </row>
    <row r="75" spans="16:29" x14ac:dyDescent="0.2">
      <c r="S75" t="s">
        <v>85</v>
      </c>
    </row>
    <row r="76" spans="16:29" x14ac:dyDescent="0.2">
      <c r="S76" t="s">
        <v>86</v>
      </c>
      <c r="X76" s="44" t="s">
        <v>93</v>
      </c>
      <c r="Y76" s="44">
        <v>3516</v>
      </c>
      <c r="Z76" s="44" t="s">
        <v>99</v>
      </c>
      <c r="AA76" s="44">
        <v>2373</v>
      </c>
      <c r="AB76" s="44" t="s">
        <v>100</v>
      </c>
      <c r="AC76" s="44">
        <v>1143</v>
      </c>
    </row>
    <row r="77" spans="16:29" x14ac:dyDescent="0.2">
      <c r="S77" s="1" t="s">
        <v>87</v>
      </c>
      <c r="X77" t="s">
        <v>94</v>
      </c>
      <c r="Y77">
        <v>900</v>
      </c>
    </row>
    <row r="79" spans="16:29" x14ac:dyDescent="0.2">
      <c r="U79" t="s">
        <v>96</v>
      </c>
      <c r="X79" s="1" t="s">
        <v>95</v>
      </c>
      <c r="Y79" s="1">
        <v>1143</v>
      </c>
    </row>
  </sheetData>
  <phoneticPr fontId="4" type="noConversion"/>
  <conditionalFormatting sqref="M41:V42">
    <cfRule type="cellIs" dxfId="1" priority="2" operator="greaterThan">
      <formula>0</formula>
    </cfRule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Jeanre Transactional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Jeanre Van Wyk</dc:creator>
  <cp:lastModifiedBy>Jeanre Van Wyk</cp:lastModifiedBy>
  <dcterms:created xsi:type="dcterms:W3CDTF">2024-04-07T08:39:01Z</dcterms:created>
  <dcterms:modified xsi:type="dcterms:W3CDTF">2025-07-04T08:29:09Z</dcterms:modified>
</cp:coreProperties>
</file>